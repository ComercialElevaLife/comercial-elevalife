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onardo\Documents\PROJECT KPI\"/>
    </mc:Choice>
  </mc:AlternateContent>
  <xr:revisionPtr revIDLastSave="0" documentId="13_ncr:1_{1E0FA3CD-33B2-4C2A-ACD4-12DAB44445B1}" xr6:coauthVersionLast="47" xr6:coauthVersionMax="47" xr10:uidLastSave="{00000000-0000-0000-0000-000000000000}"/>
  <bookViews>
    <workbookView xWindow="-120" yWindow="-120" windowWidth="20730" windowHeight="11040" activeTab="1" xr2:uid="{B163E669-015A-46A6-BEAE-367742CB78D8}"/>
  </bookViews>
  <sheets>
    <sheet name="DASH" sheetId="20" r:id="rId1"/>
    <sheet name="GERAL" sheetId="17" r:id="rId2"/>
    <sheet name="VENDAS" sheetId="10" r:id="rId3"/>
    <sheet name="EVENTOS" sheetId="21" r:id="rId4"/>
    <sheet name="ACUMULADO" sheetId="9" r:id="rId5"/>
    <sheet name="ANÁLISE" sheetId="18" r:id="rId6"/>
  </sheets>
  <definedNames>
    <definedName name="_xlcn.WorksheetConnection_1KPIsCOMERCIAL2025.xlsxBASE_COM" hidden="1">BASE_COM[]</definedName>
    <definedName name="_xlcn.WorksheetConnection_1KPIsCOMERCIAL2025.xlsxBASE_VENDAS" hidden="1">BASE_VENDAS[]</definedName>
    <definedName name="SegmentaçãodeDados_Classificação">#N/A</definedName>
    <definedName name="SegmentaçãodeDados_Classificação1">#N/A</definedName>
    <definedName name="SegmentaçãodeDados_Data__Mês">#N/A</definedName>
    <definedName name="SegmentaçãodeDados_Data__Mês1">#N/A</definedName>
    <definedName name="SegmentaçãodeDados_Data_de_envio__Mês">#N/A</definedName>
    <definedName name="SegmentaçãodeDados_Proposta_Enviada_?">#N/A</definedName>
    <definedName name="SegmentaçãodeDados_TIPO">#N/A</definedName>
  </definedNames>
  <calcPr calcId="191028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  <pivotCache cacheId="9" r:id="rId16"/>
  </pivotCaches>
  <extLst>
    <ext xmlns:x14="http://schemas.microsoft.com/office/spreadsheetml/2009/9/main" uri="{876F7934-8845-4945-9796-88D515C7AA90}">
      <x14:pivotCaches>
        <pivotCache cacheId="10" r:id="rId17"/>
      </x14:pivotCaches>
    </ext>
    <ext xmlns:x14="http://schemas.microsoft.com/office/spreadsheetml/2009/9/main" uri="{BBE1A952-AA13-448e-AADC-164F8A28A991}">
      <x14:slicerCaches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SE_VENDAS" name="BASE_VENDAS" connection="WorksheetConnection_1- KPIs COMERCIAL 2025.xlsx!BASE_VENDAS"/>
          <x15:modelTable id="BASE_COM" name="BASE_COM" connection="WorksheetConnection_1- KPIs COMERCIAL 2025.xlsx!BASE_COM"/>
        </x15:modelTables>
        <x15:extLst>
          <ext xmlns:x16="http://schemas.microsoft.com/office/spreadsheetml/2014/11/main" uri="{9835A34E-60A6-4A7C-AAB8-D5F71C897F49}">
            <x16:modelTimeGroupings>
              <x16:modelTimeGrouping tableName="BASE_VENDA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9" l="1"/>
  <c r="K55" i="17"/>
  <c r="N55" i="17"/>
  <c r="O55" i="17"/>
  <c r="P55" i="17"/>
  <c r="K54" i="17"/>
  <c r="K47" i="17"/>
  <c r="K46" i="17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N54" i="17"/>
  <c r="O54" i="17"/>
  <c r="P54" i="17"/>
  <c r="N53" i="17"/>
  <c r="O53" i="17"/>
  <c r="P53" i="17"/>
  <c r="N50" i="17"/>
  <c r="O50" i="17"/>
  <c r="P50" i="17"/>
  <c r="P52" i="17"/>
  <c r="O52" i="17"/>
  <c r="N52" i="17"/>
  <c r="K51" i="17"/>
  <c r="N51" i="17"/>
  <c r="O51" i="17"/>
  <c r="P51" i="17"/>
  <c r="K49" i="17"/>
  <c r="N49" i="17"/>
  <c r="O49" i="17"/>
  <c r="P49" i="17"/>
  <c r="N48" i="17"/>
  <c r="O48" i="17"/>
  <c r="P48" i="17"/>
  <c r="K45" i="17"/>
  <c r="N45" i="17"/>
  <c r="O45" i="17"/>
  <c r="P45" i="17"/>
  <c r="P47" i="17"/>
  <c r="O47" i="17"/>
  <c r="N47" i="17"/>
  <c r="N46" i="17"/>
  <c r="O46" i="17"/>
  <c r="P46" i="17"/>
  <c r="K44" i="17"/>
  <c r="N44" i="17"/>
  <c r="O44" i="17"/>
  <c r="P44" i="17"/>
  <c r="K43" i="17"/>
  <c r="N43" i="17"/>
  <c r="O43" i="17"/>
  <c r="P43" i="17"/>
  <c r="N42" i="17"/>
  <c r="O42" i="17"/>
  <c r="P42" i="17"/>
  <c r="K41" i="17"/>
  <c r="N41" i="17"/>
  <c r="O41" i="17"/>
  <c r="P41" i="17"/>
  <c r="N40" i="17"/>
  <c r="O40" i="17"/>
  <c r="P40" i="17"/>
  <c r="N39" i="17"/>
  <c r="O39" i="17"/>
  <c r="P39" i="17"/>
  <c r="N37" i="17"/>
  <c r="O37" i="17"/>
  <c r="P37" i="17"/>
  <c r="N38" i="17"/>
  <c r="O38" i="17"/>
  <c r="P38" i="17"/>
  <c r="K36" i="17"/>
  <c r="N36" i="17"/>
  <c r="O36" i="17"/>
  <c r="P36" i="17"/>
  <c r="N35" i="17"/>
  <c r="O35" i="17"/>
  <c r="P35" i="17"/>
  <c r="K34" i="17"/>
  <c r="P34" i="17"/>
  <c r="O34" i="17"/>
  <c r="N34" i="17"/>
  <c r="K33" i="17"/>
  <c r="P33" i="17"/>
  <c r="O33" i="17"/>
  <c r="N33" i="17"/>
  <c r="N32" i="17"/>
  <c r="O32" i="17"/>
  <c r="P32" i="17"/>
  <c r="N31" i="17"/>
  <c r="O31" i="17"/>
  <c r="P31" i="17"/>
  <c r="N30" i="17"/>
  <c r="O30" i="17"/>
  <c r="P30" i="17"/>
  <c r="K29" i="17"/>
  <c r="N29" i="17"/>
  <c r="O29" i="17"/>
  <c r="P29" i="17"/>
  <c r="N28" i="17"/>
  <c r="O28" i="17"/>
  <c r="P28" i="17"/>
  <c r="N27" i="17"/>
  <c r="O27" i="17"/>
  <c r="P27" i="17"/>
  <c r="K25" i="17"/>
  <c r="K22" i="17"/>
  <c r="K21" i="17"/>
  <c r="N25" i="17"/>
  <c r="O25" i="17"/>
  <c r="P25" i="17"/>
  <c r="N22" i="17"/>
  <c r="O22" i="17"/>
  <c r="P22" i="17"/>
  <c r="N21" i="17"/>
  <c r="O21" i="17"/>
  <c r="P21" i="17"/>
  <c r="N26" i="17"/>
  <c r="O26" i="17"/>
  <c r="P26" i="17"/>
  <c r="Y3" i="9"/>
  <c r="V3" i="9"/>
  <c r="S3" i="9"/>
  <c r="P3" i="9"/>
  <c r="I22" i="10"/>
  <c r="I21" i="10"/>
  <c r="I20" i="10"/>
  <c r="I19" i="10"/>
  <c r="I12" i="10"/>
  <c r="I24" i="10"/>
  <c r="I38" i="10"/>
  <c r="I31" i="10" l="1"/>
  <c r="I29" i="10"/>
  <c r="I6" i="10"/>
  <c r="I4" i="10"/>
  <c r="I2" i="10"/>
  <c r="D7" i="9" l="1"/>
  <c r="C11" i="9"/>
  <c r="F12" i="9" s="1"/>
  <c r="B9" i="9" l="1"/>
  <c r="D9" i="9"/>
  <c r="L9" i="9"/>
  <c r="E9" i="9"/>
  <c r="M9" i="9"/>
  <c r="F9" i="9"/>
  <c r="I9" i="9"/>
  <c r="J9" i="9"/>
  <c r="K9" i="9"/>
  <c r="G9" i="9"/>
  <c r="H9" i="9"/>
  <c r="C9" i="9"/>
  <c r="F11" i="9"/>
  <c r="N9" i="9" l="1"/>
  <c r="C7" i="9"/>
  <c r="G17" i="9"/>
  <c r="E7" i="9"/>
  <c r="F7" i="9"/>
  <c r="G7" i="9"/>
  <c r="G20" i="9" s="1"/>
  <c r="H7" i="9"/>
  <c r="G21" i="9" s="1"/>
  <c r="I7" i="9"/>
  <c r="G22" i="9" s="1"/>
  <c r="J7" i="9"/>
  <c r="G23" i="9" s="1"/>
  <c r="K7" i="9"/>
  <c r="G24" i="9" s="1"/>
  <c r="L7" i="9"/>
  <c r="G25" i="9" s="1"/>
  <c r="M7" i="9"/>
  <c r="P24" i="17"/>
  <c r="O24" i="17"/>
  <c r="N24" i="17"/>
  <c r="P23" i="17"/>
  <c r="O23" i="17"/>
  <c r="N23" i="17"/>
  <c r="P20" i="17"/>
  <c r="O20" i="17"/>
  <c r="N20" i="17"/>
  <c r="P19" i="17"/>
  <c r="O19" i="17"/>
  <c r="N19" i="17"/>
  <c r="P18" i="17"/>
  <c r="O18" i="17"/>
  <c r="N18" i="17"/>
  <c r="P17" i="17"/>
  <c r="O17" i="17"/>
  <c r="N17" i="17"/>
  <c r="P16" i="17"/>
  <c r="O16" i="17"/>
  <c r="N16" i="17"/>
  <c r="P15" i="17"/>
  <c r="O15" i="17"/>
  <c r="N15" i="17"/>
  <c r="P14" i="17"/>
  <c r="O14" i="17"/>
  <c r="N14" i="17"/>
  <c r="P13" i="17"/>
  <c r="O13" i="17"/>
  <c r="N13" i="17"/>
  <c r="P12" i="17"/>
  <c r="O12" i="17"/>
  <c r="N12" i="17"/>
  <c r="P11" i="17"/>
  <c r="O11" i="17"/>
  <c r="N11" i="17"/>
  <c r="P10" i="17"/>
  <c r="O10" i="17"/>
  <c r="N10" i="17"/>
  <c r="P9" i="17"/>
  <c r="O9" i="17"/>
  <c r="N9" i="17"/>
  <c r="K9" i="17"/>
  <c r="P8" i="17"/>
  <c r="O8" i="17"/>
  <c r="N8" i="17"/>
  <c r="P7" i="17"/>
  <c r="O7" i="17"/>
  <c r="N7" i="17"/>
  <c r="P6" i="17"/>
  <c r="O6" i="17"/>
  <c r="N6" i="17"/>
  <c r="P5" i="17"/>
  <c r="O5" i="17"/>
  <c r="N5" i="17"/>
  <c r="P4" i="17"/>
  <c r="O4" i="17"/>
  <c r="N4" i="17"/>
  <c r="P3" i="17"/>
  <c r="O3" i="17"/>
  <c r="N3" i="17"/>
  <c r="P2" i="17"/>
  <c r="O2" i="17"/>
  <c r="N2" i="17"/>
  <c r="F27" i="9"/>
  <c r="E27" i="9"/>
  <c r="N6" i="9"/>
  <c r="A27" i="9"/>
  <c r="E5" i="21"/>
  <c r="G5" i="21"/>
  <c r="I5" i="21"/>
  <c r="E4" i="21"/>
  <c r="G4" i="21"/>
  <c r="I4" i="21"/>
  <c r="E8" i="9" l="1"/>
  <c r="H18" i="9" s="1"/>
  <c r="C18" i="9" s="1"/>
  <c r="D8" i="9"/>
  <c r="H17" i="9" s="1"/>
  <c r="C17" i="9" s="1"/>
  <c r="G8" i="9"/>
  <c r="H20" i="9" s="1"/>
  <c r="C20" i="9" s="1"/>
  <c r="G16" i="9"/>
  <c r="B16" i="9" s="1"/>
  <c r="N7" i="9"/>
  <c r="N2" i="9" s="1"/>
  <c r="F8" i="9"/>
  <c r="F3" i="9" s="1"/>
  <c r="B8" i="9"/>
  <c r="C8" i="9"/>
  <c r="H16" i="9" s="1"/>
  <c r="C16" i="9" s="1"/>
  <c r="M8" i="9"/>
  <c r="H26" i="9" s="1"/>
  <c r="C26" i="9" s="1"/>
  <c r="L8" i="9"/>
  <c r="L3" i="9" s="1"/>
  <c r="K8" i="9"/>
  <c r="H24" i="9" s="1"/>
  <c r="C24" i="9" s="1"/>
  <c r="J8" i="9"/>
  <c r="H23" i="9" s="1"/>
  <c r="C23" i="9" s="1"/>
  <c r="I8" i="9"/>
  <c r="H22" i="9" s="1"/>
  <c r="C22" i="9" s="1"/>
  <c r="H8" i="9"/>
  <c r="H21" i="9" s="1"/>
  <c r="C21" i="9" s="1"/>
  <c r="G19" i="9"/>
  <c r="B19" i="9" s="1"/>
  <c r="G18" i="9"/>
  <c r="G26" i="9"/>
  <c r="B26" i="9" s="1"/>
  <c r="G15" i="9"/>
  <c r="B15" i="9" s="1"/>
  <c r="I2" i="21"/>
  <c r="I3" i="21"/>
  <c r="G3" i="21"/>
  <c r="E3" i="21"/>
  <c r="G2" i="21"/>
  <c r="E2" i="21"/>
  <c r="E2" i="9"/>
  <c r="C2" i="9"/>
  <c r="D2" i="9"/>
  <c r="F2" i="9"/>
  <c r="G2" i="9"/>
  <c r="H2" i="9"/>
  <c r="I2" i="9"/>
  <c r="J2" i="9"/>
  <c r="K2" i="9"/>
  <c r="L2" i="9"/>
  <c r="M2" i="9"/>
  <c r="B17" i="9"/>
  <c r="B20" i="9"/>
  <c r="B21" i="9"/>
  <c r="B22" i="9"/>
  <c r="B23" i="9"/>
  <c r="B24" i="9"/>
  <c r="B25" i="9"/>
  <c r="W3" i="9" l="1"/>
  <c r="X3" i="9" s="1"/>
  <c r="E3" i="9"/>
  <c r="G3" i="9"/>
  <c r="H15" i="9"/>
  <c r="N8" i="9"/>
  <c r="H27" i="9" s="1"/>
  <c r="D4" i="9"/>
  <c r="F4" i="9"/>
  <c r="H19" i="9"/>
  <c r="C19" i="9" s="1"/>
  <c r="B2" i="9"/>
  <c r="M3" i="9"/>
  <c r="B3" i="9"/>
  <c r="B4" i="9"/>
  <c r="C4" i="9"/>
  <c r="L4" i="9"/>
  <c r="K4" i="9"/>
  <c r="D24" i="9"/>
  <c r="J4" i="9"/>
  <c r="H25" i="9"/>
  <c r="C25" i="9" s="1"/>
  <c r="I4" i="9"/>
  <c r="B12" i="9"/>
  <c r="H3" i="9"/>
  <c r="J3" i="9"/>
  <c r="D26" i="9"/>
  <c r="H4" i="9"/>
  <c r="D3" i="9"/>
  <c r="G4" i="9"/>
  <c r="K3" i="9"/>
  <c r="C3" i="9"/>
  <c r="M4" i="9"/>
  <c r="E4" i="9"/>
  <c r="I3" i="9"/>
  <c r="D18" i="9"/>
  <c r="B18" i="9"/>
  <c r="D22" i="9"/>
  <c r="D16" i="9"/>
  <c r="D17" i="9"/>
  <c r="D20" i="9"/>
  <c r="D21" i="9"/>
  <c r="D23" i="9"/>
  <c r="T3" i="9" l="1"/>
  <c r="U3" i="9" s="1"/>
  <c r="Z3" i="9"/>
  <c r="AA3" i="9" s="1"/>
  <c r="C15" i="9"/>
  <c r="Q3" i="9"/>
  <c r="R3" i="9" s="1"/>
  <c r="N3" i="9"/>
  <c r="C27" i="9" s="1"/>
  <c r="D15" i="9"/>
  <c r="D19" i="9"/>
  <c r="D25" i="9"/>
  <c r="N4" i="9"/>
  <c r="D27" i="9" s="1"/>
  <c r="G27" i="9"/>
  <c r="B2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tc={224AEBD8-52FF-4157-B695-D3EF74FA94CD}</author>
  </authors>
  <commentList>
    <comment ref="A1" authorId="0" shapeId="0" xr:uid="{224AEBD8-52FF-4157-B695-D3EF74FA94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Manter a data do primeiro contato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tc={EEA0AEFD-47F3-442D-B4DB-C0307844C4B1}</author>
  </authors>
  <commentList>
    <comment ref="F2" authorId="0" shapeId="0" xr:uid="{EEA0AEFD-47F3-442D-B4DB-C0307844C4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AMSTED; APERAM; VALLOUREC; UNIMED NACIONAL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7C948D-1B7C-4E4E-AAD1-A7760CCB62B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9E31C0-62C7-481D-A703-8351296120C0}" name="WorksheetConnection_1- KPIs COMERCIAL 2025.xlsx!BASE_COM" type="102" refreshedVersion="8" minRefreshableVersion="5">
    <extLst>
      <ext xmlns:x15="http://schemas.microsoft.com/office/spreadsheetml/2010/11/main" uri="{DE250136-89BD-433C-8126-D09CA5730AF9}">
        <x15:connection id="BASE_COM" autoDelete="1">
          <x15:rangePr sourceName="_xlcn.WorksheetConnection_1KPIsCOMERCIAL2025.xlsxBASE_COM"/>
        </x15:connection>
      </ext>
    </extLst>
  </connection>
  <connection id="3" xr16:uid="{5429D599-BE2C-415A-B25D-1F25830B51CB}" name="WorksheetConnection_1- KPIs COMERCIAL 2025.xlsx!BASE_VENDAS" type="102" refreshedVersion="8" minRefreshableVersion="5">
    <extLst>
      <ext xmlns:x15="http://schemas.microsoft.com/office/spreadsheetml/2010/11/main" uri="{DE250136-89BD-433C-8126-D09CA5730AF9}">
        <x15:connection id="BASE_VENDAS">
          <x15:rangePr sourceName="_xlcn.WorksheetConnection_1KPIsCOMERCIAL2025.xlsxBASE_VENDAS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BASE_VENDAS].[Data].[All]}"/>
    <s v="{[BASE_COM].[Data (Trimestre)].[All]}"/>
    <s v="{[BASE_COM].[Data de envio (Mês)].[All]}"/>
    <s v="{[BASE_VENDAS].[Data (Mês)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<sst xmlns="http://schemas.openxmlformats.org/spreadsheetml/2006/main" count="1085" uniqueCount="245">
  <si>
    <t>Data</t>
  </si>
  <si>
    <t>Nome</t>
  </si>
  <si>
    <t>Fonte</t>
  </si>
  <si>
    <t>Campanha</t>
  </si>
  <si>
    <t>Classificação</t>
  </si>
  <si>
    <t>Entrada</t>
  </si>
  <si>
    <t>Serviço</t>
  </si>
  <si>
    <t>Proposta Enviada ?</t>
  </si>
  <si>
    <t>Valor Proposta</t>
  </si>
  <si>
    <t>TIPO</t>
  </si>
  <si>
    <t>Data de envio</t>
  </si>
  <si>
    <t>Mês</t>
  </si>
  <si>
    <t>Semana Entrada</t>
  </si>
  <si>
    <t>Semana Envio</t>
  </si>
  <si>
    <t>Priscila</t>
  </si>
  <si>
    <t>Cliente ativo</t>
  </si>
  <si>
    <t>N/A</t>
  </si>
  <si>
    <t>A</t>
  </si>
  <si>
    <t>João</t>
  </si>
  <si>
    <t>MKT</t>
  </si>
  <si>
    <t>R</t>
  </si>
  <si>
    <t>Sabrina</t>
  </si>
  <si>
    <t>GL</t>
  </si>
  <si>
    <t>P</t>
  </si>
  <si>
    <t>Paulo</t>
  </si>
  <si>
    <t>Luana</t>
  </si>
  <si>
    <t>Bruna</t>
  </si>
  <si>
    <t>ECO3</t>
  </si>
  <si>
    <t>Bartira</t>
  </si>
  <si>
    <t>Relacionamento</t>
  </si>
  <si>
    <t>Regiane</t>
  </si>
  <si>
    <t>Suzano</t>
  </si>
  <si>
    <t>Busca Orgânica</t>
  </si>
  <si>
    <t>Gisele</t>
  </si>
  <si>
    <t>Assertiv</t>
  </si>
  <si>
    <t>Fernanda</t>
  </si>
  <si>
    <t>B</t>
  </si>
  <si>
    <t>E-mail</t>
  </si>
  <si>
    <t>Tenaris</t>
  </si>
  <si>
    <t>C</t>
  </si>
  <si>
    <t>Clariant</t>
  </si>
  <si>
    <t xml:space="preserve">Sérgio </t>
  </si>
  <si>
    <t>CBQV</t>
  </si>
  <si>
    <t>Vanessa</t>
  </si>
  <si>
    <t>Vania</t>
  </si>
  <si>
    <t>CTG</t>
  </si>
  <si>
    <t>Cliente</t>
  </si>
  <si>
    <t>Tipo</t>
  </si>
  <si>
    <t>Valor</t>
  </si>
  <si>
    <t>SUZANO</t>
  </si>
  <si>
    <t>EVENTO</t>
  </si>
  <si>
    <t>Lead captados</t>
  </si>
  <si>
    <t>reuniões</t>
  </si>
  <si>
    <t>%</t>
  </si>
  <si>
    <t>propostas</t>
  </si>
  <si>
    <t>%2</t>
  </si>
  <si>
    <t>fechamentos</t>
  </si>
  <si>
    <t>%22</t>
  </si>
  <si>
    <t>AMCHAM (CN)</t>
  </si>
  <si>
    <t>SINDUSFARMA</t>
  </si>
  <si>
    <t>AMCHAM (BENCH)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</si>
  <si>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</si>
  <si>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</si>
  <si>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</si>
  <si>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</si>
  <si>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</si>
  <si>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</si>
  <si>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</si>
  <si>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</si>
  <si>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</si>
  <si>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</si>
  <si>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</si>
  <si>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</si>
  <si>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Rótulos de Linha</t>
  </si>
  <si>
    <t>jan</t>
  </si>
  <si>
    <t>fev</t>
  </si>
  <si>
    <t>Total Geral</t>
  </si>
  <si>
    <t>Contagem de Proposta Enviada ?</t>
  </si>
  <si>
    <t>Data (Trimestre)</t>
  </si>
  <si>
    <t>All</t>
  </si>
  <si>
    <t>Rótulos de Coluna</t>
  </si>
  <si>
    <t>Soma de Valor</t>
  </si>
  <si>
    <t>Data (Mês)</t>
  </si>
  <si>
    <t>Soma de Valor Proposta</t>
  </si>
  <si>
    <t>Contagem de Semana Envio</t>
  </si>
  <si>
    <t>1ª semana</t>
  </si>
  <si>
    <t>3ª semana</t>
  </si>
  <si>
    <t>4ª semana</t>
  </si>
  <si>
    <t>Gestamp</t>
  </si>
  <si>
    <t>META DE VENDAS</t>
  </si>
  <si>
    <t>PONTUAIS</t>
  </si>
  <si>
    <t>META TOTAL</t>
  </si>
  <si>
    <t>META Anual</t>
  </si>
  <si>
    <t>VENDAS RECOR.</t>
  </si>
  <si>
    <t>META RECOR.</t>
  </si>
  <si>
    <t>META PONT.</t>
  </si>
  <si>
    <t>VENDAS PONT.</t>
  </si>
  <si>
    <t>NOVOS RECOR.</t>
  </si>
  <si>
    <t>ACUMULADO</t>
  </si>
  <si>
    <t>Afranio</t>
  </si>
  <si>
    <t>MED TRAB</t>
  </si>
  <si>
    <t>S</t>
  </si>
  <si>
    <t>Jéssica</t>
  </si>
  <si>
    <t>Rota das Bandeiras</t>
  </si>
  <si>
    <t>GLOBANT</t>
  </si>
  <si>
    <t>ERGO</t>
  </si>
  <si>
    <t>Spturis</t>
  </si>
  <si>
    <t>MASSO</t>
  </si>
  <si>
    <t>Dra. Carla</t>
  </si>
  <si>
    <t>Giovana</t>
  </si>
  <si>
    <t>EMS - Grupo NC</t>
  </si>
  <si>
    <t>Marheny</t>
  </si>
  <si>
    <t>Imerys</t>
  </si>
  <si>
    <t>Swellen</t>
  </si>
  <si>
    <t>ADIUM</t>
  </si>
  <si>
    <t>Alcon</t>
  </si>
  <si>
    <t>Paulo Souza</t>
  </si>
  <si>
    <t>SET</t>
  </si>
  <si>
    <t>Parceiros</t>
  </si>
  <si>
    <t>2ª semana</t>
  </si>
  <si>
    <t>5ª semana</t>
  </si>
  <si>
    <t>VENDAS RECORRENTES</t>
  </si>
  <si>
    <t>VENDAS PONTUAIS</t>
  </si>
  <si>
    <t>Data de envio (Mês)</t>
  </si>
  <si>
    <t>PROSPEC</t>
  </si>
  <si>
    <t>SÓCIOS</t>
  </si>
  <si>
    <t>VERZANI &amp; SANDRINI</t>
  </si>
  <si>
    <t>ACRISURE</t>
  </si>
  <si>
    <t>FISIO</t>
  </si>
  <si>
    <t>CELANESE</t>
  </si>
  <si>
    <t>EMS (GRUPO NC)</t>
  </si>
  <si>
    <t>IMERYS</t>
  </si>
  <si>
    <t>NSK</t>
  </si>
  <si>
    <t>MED</t>
  </si>
  <si>
    <t>Lucas Meyer</t>
  </si>
  <si>
    <t>ENF</t>
  </si>
  <si>
    <t>RINNAI</t>
  </si>
  <si>
    <t>BTP</t>
  </si>
  <si>
    <t>AURICULO</t>
  </si>
  <si>
    <t>CAIXA</t>
  </si>
  <si>
    <t>BARTIRA</t>
  </si>
  <si>
    <t>AF</t>
  </si>
  <si>
    <t>VALLOUREC</t>
  </si>
  <si>
    <t>mar</t>
  </si>
  <si>
    <t>abr</t>
  </si>
  <si>
    <t>ICP</t>
  </si>
  <si>
    <t>Cliente atual</t>
  </si>
  <si>
    <t>Novo cliente</t>
  </si>
  <si>
    <t>MÊS VENDA</t>
  </si>
  <si>
    <t>RESULTADO</t>
  </si>
  <si>
    <t>Reativação?</t>
  </si>
  <si>
    <t>Não</t>
  </si>
  <si>
    <t>Sim</t>
  </si>
  <si>
    <t>KOLBEN</t>
  </si>
  <si>
    <t>mai</t>
  </si>
  <si>
    <t>Isaac</t>
  </si>
  <si>
    <t>Rinnai</t>
  </si>
  <si>
    <t>Ana Paula</t>
  </si>
  <si>
    <t>CLI</t>
  </si>
  <si>
    <t>Sanofi</t>
  </si>
  <si>
    <t>Patrícia</t>
  </si>
  <si>
    <t>Caixa Residencial</t>
  </si>
  <si>
    <t>BRUNNA</t>
  </si>
  <si>
    <t>JULIO</t>
  </si>
  <si>
    <t>NUBANK</t>
  </si>
  <si>
    <t>Everton</t>
  </si>
  <si>
    <t>GAT LOG</t>
  </si>
  <si>
    <t>Ana</t>
  </si>
  <si>
    <t>Dr. Ricardo</t>
  </si>
  <si>
    <t>Marcos</t>
  </si>
  <si>
    <t>Inylbra</t>
  </si>
  <si>
    <t>Julia</t>
  </si>
  <si>
    <t>Givaudan</t>
  </si>
  <si>
    <t>Alexandre</t>
  </si>
  <si>
    <t>Johnsol Controls</t>
  </si>
  <si>
    <t>Dra. Maira</t>
  </si>
  <si>
    <t>Kolben</t>
  </si>
  <si>
    <t>Indicação</t>
  </si>
  <si>
    <t>André</t>
  </si>
  <si>
    <t>André Rovelo</t>
  </si>
  <si>
    <t>CNH</t>
  </si>
  <si>
    <t>Charles</t>
  </si>
  <si>
    <t>Alvorada</t>
  </si>
  <si>
    <t>Thays</t>
  </si>
  <si>
    <t>Evento</t>
  </si>
  <si>
    <t>IR</t>
  </si>
  <si>
    <t>Rafael</t>
  </si>
  <si>
    <t>ZF</t>
  </si>
  <si>
    <t>Ezequiel</t>
  </si>
  <si>
    <t>Tokio Marine</t>
  </si>
  <si>
    <t>Jessé</t>
  </si>
  <si>
    <t>Grupo Mauser</t>
  </si>
  <si>
    <t>APERAM</t>
  </si>
  <si>
    <t>Katia</t>
  </si>
  <si>
    <t>LYB</t>
  </si>
  <si>
    <t>ANDRE</t>
  </si>
  <si>
    <t>LORENZETTI</t>
  </si>
  <si>
    <t>NOVO TEMPO</t>
  </si>
  <si>
    <t>dez</t>
  </si>
  <si>
    <t>ORIGEM</t>
  </si>
  <si>
    <t>NÃO SÓCIOS</t>
  </si>
  <si>
    <t>Unidade</t>
  </si>
  <si>
    <t>Corporativo</t>
  </si>
  <si>
    <t>SJRP</t>
  </si>
  <si>
    <t>SP</t>
  </si>
  <si>
    <t>Santa Isabel</t>
  </si>
  <si>
    <t>SBC</t>
  </si>
  <si>
    <t>Piracicaba</t>
  </si>
  <si>
    <t>Hortolândia</t>
  </si>
  <si>
    <t>Mogi das Cruzes</t>
  </si>
  <si>
    <t>Porto</t>
  </si>
  <si>
    <t>Centro-Oeste</t>
  </si>
  <si>
    <t>Santos</t>
  </si>
  <si>
    <t>Morumbi</t>
  </si>
  <si>
    <t>Campinas</t>
  </si>
  <si>
    <t>Sorocaba</t>
  </si>
  <si>
    <t>Jacareí</t>
  </si>
  <si>
    <t>Pindamonhangaba</t>
  </si>
  <si>
    <t>Lorena</t>
  </si>
  <si>
    <t>Cosígua</t>
  </si>
  <si>
    <t>Cotia</t>
  </si>
  <si>
    <t>Cumbica</t>
  </si>
  <si>
    <t>SJC</t>
  </si>
  <si>
    <t>Araçariguama</t>
  </si>
  <si>
    <t>Larissa</t>
  </si>
  <si>
    <t>Slotter</t>
  </si>
  <si>
    <t>LS</t>
  </si>
  <si>
    <t>JB</t>
  </si>
  <si>
    <t>RP</t>
  </si>
  <si>
    <t>Grupo Muffato</t>
  </si>
  <si>
    <t>BASF</t>
  </si>
  <si>
    <t>DSM</t>
  </si>
  <si>
    <t>SAINT GOBAIN</t>
  </si>
  <si>
    <t>GERDAU</t>
  </si>
  <si>
    <t>AGCO</t>
  </si>
  <si>
    <t>Santa Rosa/RS</t>
  </si>
  <si>
    <t>META PREVISTA RECORRENTES</t>
  </si>
  <si>
    <t>META PREVISTA PONTUAIS</t>
  </si>
  <si>
    <t>VENDAS ORIGINADAS SÓCIOS</t>
  </si>
  <si>
    <t>Q1/2026</t>
  </si>
  <si>
    <t>Q2/2026</t>
  </si>
  <si>
    <t>Q3/2026</t>
  </si>
  <si>
    <t>Q4/2026</t>
  </si>
  <si>
    <t>META PREVISTA</t>
  </si>
  <si>
    <t>RESULTADO%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</si>
</sst>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&quot;R$&quot;\ #,##0.00"/>
    <numFmt numFmtId="166" formatCode="_-[$R$-416]\ * #,##0.00_-;\-[$R$-416]\ * #,##0.00_-;_-[$R$-416]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FEAEA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44" fontId="0" fillId="0" borderId="0" xfId="0" pivotButton="1" applyNumberFormat="1"/>
    <xf numFmtId="44" fontId="0" fillId="0" borderId="0" xfId="0" applyNumberFormat="1" applyAlignment="1">
      <alignment horizontal="left"/>
    </xf>
    <xf numFmtId="44" fontId="2" fillId="0" borderId="0" xfId="0" applyNumberFormat="1" applyFont="1"/>
    <xf numFmtId="9" fontId="2" fillId="0" borderId="0" xfId="2" applyFont="1"/>
    <xf numFmtId="44" fontId="0" fillId="0" borderId="0" xfId="0" applyNumberFormat="1" applyAlignment="1">
      <alignment horizontal="center" vertical="center"/>
    </xf>
    <xf numFmtId="9" fontId="2" fillId="0" borderId="4" xfId="2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9" fontId="5" fillId="4" borderId="1" xfId="2" applyFont="1" applyFill="1" applyBorder="1" applyAlignment="1">
      <alignment horizontal="center" vertical="center"/>
    </xf>
    <xf numFmtId="44" fontId="2" fillId="0" borderId="6" xfId="0" applyNumberFormat="1" applyFont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/>
    <xf numFmtId="165" fontId="2" fillId="0" borderId="0" xfId="2" applyNumberFormat="1" applyFont="1" applyAlignment="1">
      <alignment horizontal="center" vertical="center"/>
    </xf>
    <xf numFmtId="9" fontId="2" fillId="0" borderId="3" xfId="2" applyFont="1" applyBorder="1" applyAlignment="1">
      <alignment horizontal="center" vertical="center"/>
    </xf>
    <xf numFmtId="9" fontId="2" fillId="0" borderId="2" xfId="2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9" fontId="2" fillId="2" borderId="4" xfId="2" applyFont="1" applyFill="1" applyBorder="1" applyAlignment="1">
      <alignment horizontal="center" vertical="center"/>
    </xf>
    <xf numFmtId="9" fontId="2" fillId="0" borderId="4" xfId="2" applyFont="1" applyFill="1" applyBorder="1" applyAlignment="1">
      <alignment horizontal="center" vertical="center"/>
    </xf>
    <xf numFmtId="44" fontId="2" fillId="0" borderId="9" xfId="1" applyFont="1" applyBorder="1" applyAlignment="1">
      <alignment horizontal="center" vertical="center"/>
    </xf>
    <xf numFmtId="9" fontId="2" fillId="0" borderId="5" xfId="2" applyFont="1" applyFill="1" applyBorder="1" applyAlignment="1">
      <alignment horizontal="center" vertical="center"/>
    </xf>
    <xf numFmtId="44" fontId="2" fillId="0" borderId="1" xfId="1" applyFont="1" applyFill="1" applyBorder="1" applyAlignment="1">
      <alignment horizontal="center" vertical="center"/>
    </xf>
    <xf numFmtId="9" fontId="2" fillId="0" borderId="9" xfId="2" applyFont="1" applyBorder="1" applyAlignment="1">
      <alignment horizontal="center" vertical="center"/>
    </xf>
    <xf numFmtId="9" fontId="2" fillId="2" borderId="9" xfId="2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2" fillId="0" borderId="0" xfId="2" applyNumberFormat="1" applyFont="1" applyAlignment="1">
      <alignment horizontal="center" vertical="center"/>
    </xf>
    <xf numFmtId="0" fontId="6" fillId="0" borderId="0" xfId="0" applyFont="1"/>
    <xf numFmtId="44" fontId="0" fillId="0" borderId="0" xfId="1" applyFont="1" applyFill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2" fillId="0" borderId="0" xfId="2" applyFont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4" fontId="0" fillId="5" borderId="0" xfId="0" applyNumberFormat="1" applyFill="1" applyAlignment="1">
      <alignment horizontal="center" vertical="center"/>
    </xf>
    <xf numFmtId="44" fontId="0" fillId="0" borderId="0" xfId="1" applyFont="1"/>
    <xf numFmtId="166" fontId="0" fillId="0" borderId="0" xfId="0" applyNumberFormat="1"/>
    <xf numFmtId="10" fontId="0" fillId="0" borderId="0" xfId="2" applyNumberFormat="1" applyFont="1" applyFill="1" applyBorder="1"/>
    <xf numFmtId="14" fontId="0" fillId="0" borderId="10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4" fontId="0" fillId="0" borderId="6" xfId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83"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2" formatCode="m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00"/>
      <color rgb="FF00FF00"/>
      <color rgb="FF7FC8CD"/>
      <color rgb="FF00A100"/>
      <color rgb="FFFA7268"/>
      <color rgb="FFFFBCB8"/>
      <color rgb="FF7FEAEA"/>
      <color rgb="FFFF807D"/>
      <color rgb="FF002815"/>
      <color rgb="FF00A1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microsoft.com/office/2007/relationships/slicerCache" Target="slicerCaches/slicerCache1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4.xml"/><Relationship Id="rId34" Type="http://schemas.openxmlformats.org/officeDocument/2006/relationships/customXml" Target="../customXml/item2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theme" Target="theme/theme1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microsoft.com/office/2007/relationships/slicerCache" Target="slicerCaches/slicerCache3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microsoft.com/office/2007/relationships/slicerCache" Target="slicerCaches/slicerCache7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microsoft.com/office/2007/relationships/slicerCache" Target="slicerCaches/slicerCache6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4.xml"/><Relationship Id="rId10" Type="http://schemas.openxmlformats.org/officeDocument/2006/relationships/pivotCacheDefinition" Target="pivotCache/pivotCacheDefinition4.xml"/><Relationship Id="rId19" Type="http://schemas.microsoft.com/office/2007/relationships/slicerCache" Target="slicerCaches/slicerCache2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microsoft.com/office/2007/relationships/slicerCache" Target="slicerCaches/slicerCache5.xml"/><Relationship Id="rId27" Type="http://schemas.openxmlformats.org/officeDocument/2006/relationships/styles" Target="style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3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[Base_Painel_KPI_.xlsx]ANÁLISE!VOLUME_PROPOSTAS_MÊS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$PROPOSTAS</a:t>
            </a:r>
            <a:r>
              <a:rPr lang="en-US" b="1" baseline="0"/>
              <a:t> ENVIADAS MÊS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9719248226077788"/>
                  <c:h val="9.442359648650997E-2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3540569527319608"/>
                  <c:h val="7.8660057841015804E-2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ANÁLISE!$CA$171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146-4CF2-BD7D-8C0E2CA8322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146-4CF2-BD7D-8C0E2CA8322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19248226077788"/>
                      <c:h val="9.44235964865099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146-4CF2-BD7D-8C0E2CA8322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40569527319608"/>
                      <c:h val="7.86600578410158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146-4CF2-BD7D-8C0E2CA832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ANÁLISE!$BZ$172:$BZ$177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ANÁLISE!$CA$172:$CA$177</c:f>
              <c:numCache>
                <c:formatCode>_("R$"* #,##0.00_);_("R$"* \(#,##0.00\);_("R$"* "-"??_);_(@_)</c:formatCode>
                <c:ptCount val="5"/>
                <c:pt idx="0">
                  <c:v>174969.88</c:v>
                </c:pt>
                <c:pt idx="1">
                  <c:v>400945.98</c:v>
                </c:pt>
                <c:pt idx="2">
                  <c:v>723319.52</c:v>
                </c:pt>
                <c:pt idx="3">
                  <c:v>954994.32000000007</c:v>
                </c:pt>
                <c:pt idx="4">
                  <c:v>1952792.385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A7-445A-9EA6-1ADE618E2F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1351488"/>
        <c:axId val="1641350528"/>
      </c:barChart>
      <c:catAx>
        <c:axId val="164135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1350528"/>
        <c:crosses val="autoZero"/>
        <c:auto val="1"/>
        <c:lblAlgn val="ctr"/>
        <c:lblOffset val="100"/>
        <c:noMultiLvlLbl val="0"/>
      </c:catAx>
      <c:valAx>
        <c:axId val="164135052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413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[Base_Painel_KPI_.xlsx]ANÁLISE!CONT_PROPOSTA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PROPOSTAS ENVIADAS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ANÁLISE!$A$2:$A$3</c:f>
              <c:strCache>
                <c:ptCount val="1"/>
                <c:pt idx="0">
                  <c:v>S</c:v>
                </c:pt>
              </c:strCache>
            </c:strRef>
          </c:cat>
          <c:val>
            <c:numRef>
              <c:f>ANÁLISE!$B$2:$B$3</c:f>
              <c:numCache>
                <c:formatCode>General</c:formatCode>
                <c:ptCount val="1"/>
                <c:pt idx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C-49C7-B974-4ED5154CC4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521744"/>
        <c:axId val="2519824"/>
      </c:barChart>
      <c:catAx>
        <c:axId val="252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19824"/>
        <c:crosses val="autoZero"/>
        <c:auto val="1"/>
        <c:lblAlgn val="ctr"/>
        <c:lblOffset val="100"/>
        <c:noMultiLvlLbl val="0"/>
      </c:catAx>
      <c:valAx>
        <c:axId val="2519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2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[Base_Painel_KPI_.xlsx]ANÁLISE!CONT_PROPOS_ENV_TRIMESTRAL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PROPOSTAS ENVIADAS TRI X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ANÁLISE!$BY$3:$BY$4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ANÁLISE!$BX$5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ANÁLISE!$BY$5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2-4846-BF5A-855594D0C951}"/>
            </c:ext>
          </c:extLst>
        </c:ser>
        <c:ser>
          <c:idx val="1"/>
          <c:order val="1"/>
          <c:tx>
            <c:strRef>
              <c:f>ANÁLISE!$BZ$3:$BZ$4</c:f>
              <c:strCache>
                <c:ptCount val="1"/>
                <c:pt idx="0">
                  <c:v>fev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ANÁLISE!$BX$5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ANÁLISE!$BZ$5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62-4846-BF5A-855594D0C951}"/>
            </c:ext>
          </c:extLst>
        </c:ser>
        <c:ser>
          <c:idx val="2"/>
          <c:order val="2"/>
          <c:tx>
            <c:strRef>
              <c:f>ANÁLISE!$CA$3:$CA$4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ANÁLISE!$BX$5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ANÁLISE!$CA$5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E-42D5-987A-3CFF8B9DD64B}"/>
            </c:ext>
          </c:extLst>
        </c:ser>
        <c:ser>
          <c:idx val="3"/>
          <c:order val="3"/>
          <c:tx>
            <c:strRef>
              <c:f>ANÁLISE!$CB$3:$CB$4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ANÁLISE!$BX$5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ANÁLISE!$CB$5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4E-42D5-987A-3CFF8B9DD64B}"/>
            </c:ext>
          </c:extLst>
        </c:ser>
        <c:ser>
          <c:idx val="4"/>
          <c:order val="4"/>
          <c:tx>
            <c:strRef>
              <c:f>ANÁLISE!$CC$3:$CC$4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ANÁLISE!$BX$5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ANÁLISE!$CC$5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4E-42D5-987A-3CFF8B9DD6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33611008"/>
        <c:axId val="633613888"/>
      </c:barChart>
      <c:catAx>
        <c:axId val="63361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3613888"/>
        <c:crosses val="autoZero"/>
        <c:auto val="1"/>
        <c:lblAlgn val="ctr"/>
        <c:lblOffset val="100"/>
        <c:noMultiLvlLbl val="0"/>
      </c:catAx>
      <c:valAx>
        <c:axId val="633613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361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[Base_Painel_KPI_.xlsx]ANÁLISE!VENDAS_MÊS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/>
              <a:t>$VENDAS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ANÁLISE!$CB$103:$CB$104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ANÁLISE!$CA$105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ANÁLISE!$CB$105</c:f>
              <c:numCache>
                <c:formatCode>_("R$"* #,##0.00_);_("R$"* \(#,##0.00\);_("R$"* "-"??_);_(@_)</c:formatCode>
                <c:ptCount val="1"/>
                <c:pt idx="0">
                  <c:v>8850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5F-4B6D-9198-7B93BEE481BD}"/>
            </c:ext>
          </c:extLst>
        </c:ser>
        <c:ser>
          <c:idx val="1"/>
          <c:order val="1"/>
          <c:tx>
            <c:strRef>
              <c:f>ANÁLISE!$CC$103:$CC$104</c:f>
              <c:strCache>
                <c:ptCount val="1"/>
                <c:pt idx="0">
                  <c:v>fev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ANÁLISE!$CA$105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ANÁLISE!$CC$105</c:f>
              <c:numCache>
                <c:formatCode>_("R$"* #,##0.00_);_("R$"* \(#,##0.00\);_("R$"* "-"??_);_(@_)</c:formatCode>
                <c:ptCount val="1"/>
                <c:pt idx="0">
                  <c:v>311152.93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D-4277-93FA-B9C99D2A2607}"/>
            </c:ext>
          </c:extLst>
        </c:ser>
        <c:ser>
          <c:idx val="2"/>
          <c:order val="2"/>
          <c:tx>
            <c:strRef>
              <c:f>ANÁLISE!$CD$103:$CD$104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ANÁLISE!$CA$105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ANÁLISE!$CD$105</c:f>
              <c:numCache>
                <c:formatCode>_("R$"* #,##0.00_);_("R$"* \(#,##0.00\);_("R$"* "-"??_);_(@_)</c:formatCode>
                <c:ptCount val="1"/>
                <c:pt idx="0">
                  <c:v>634596.01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4D-4277-93FA-B9C99D2A2607}"/>
            </c:ext>
          </c:extLst>
        </c:ser>
        <c:ser>
          <c:idx val="3"/>
          <c:order val="3"/>
          <c:tx>
            <c:strRef>
              <c:f>ANÁLISE!$CE$103:$CE$104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ANÁLISE!$CA$105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ANÁLISE!$CE$105</c:f>
              <c:numCache>
                <c:formatCode>_("R$"* #,##0.00_);_("R$"* \(#,##0.00\);_("R$"* "-"??_);_(@_)</c:formatCode>
                <c:ptCount val="1"/>
                <c:pt idx="0">
                  <c:v>351607.82666666666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4D-4277-93FA-B9C99D2A2607}"/>
            </c:ext>
          </c:extLst>
        </c:ser>
        <c:ser>
          <c:idx val="4"/>
          <c:order val="4"/>
          <c:tx>
            <c:strRef>
              <c:f>ANÁLISE!$CF$103:$CF$104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ANÁLISE!$CA$105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ANÁLISE!$CF$105</c:f>
              <c:numCache>
                <c:formatCode>_("R$"* #,##0.00_);_("R$"* \(#,##0.00\);_("R$"* "-"??_);_(@_)</c:formatCode>
                <c:ptCount val="1"/>
                <c:pt idx="0">
                  <c:v>54650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E-40A3-9DF4-557C218A46EA}"/>
            </c:ext>
          </c:extLst>
        </c:ser>
        <c:ser>
          <c:idx val="5"/>
          <c:order val="5"/>
          <c:tx>
            <c:strRef>
              <c:f>ANÁLISE!$CG$103:$CG$104</c:f>
              <c:strCache>
                <c:ptCount val="1"/>
                <c:pt idx="0">
                  <c:v>dez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ANÁLISE!$CA$105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ANÁLISE!$CG$105</c:f>
              <c:numCache>
                <c:formatCode>_("R$"* #,##0.00_);_("R$"* \(#,##0.00\);_("R$"* "-"??_);_(@_)</c:formatCode>
                <c:ptCount val="1"/>
                <c:pt idx="0">
                  <c:v>717484.07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E-4FD0-BF0C-3A8D7B3F76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60144"/>
        <c:axId val="2361104"/>
      </c:barChart>
      <c:catAx>
        <c:axId val="2360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61104"/>
        <c:crosses val="autoZero"/>
        <c:auto val="1"/>
        <c:lblAlgn val="ctr"/>
        <c:lblOffset val="100"/>
        <c:noMultiLvlLbl val="0"/>
      </c:catAx>
      <c:valAx>
        <c:axId val="236110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36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[Base_Painel_KPI_.xlsx]ANÁLISE!VENDA_SERVIÇO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$VENDAS POR SERVIÇO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  <c:dLbl>
          <c:idx val="0"/>
          <c:layout>
            <c:manualLayout>
              <c:x val="-2.5706212402134693E-3"/>
              <c:y val="4.5822186913480979E-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7.7134983994996955E-3"/>
              <c:y val="-4.6871738210270061E-2"/>
            </c:manualLayout>
          </c:layout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930811535373874"/>
                  <c:h val="0.22941894587680778"/>
                </c:manualLayout>
              </c15:layout>
            </c:ext>
          </c:extLst>
        </c:dLbl>
      </c:pivotFmt>
      <c:pivotFmt>
        <c:idx val="18"/>
      </c:pivotFmt>
      <c:pivotFmt>
        <c:idx val="19"/>
        <c:dLbl>
          <c:idx val="0"/>
          <c:layout>
            <c:manualLayout>
              <c:x val="-0.18512396158799269"/>
              <c:y val="2.6365352743276893E-2"/>
            </c:manualLayout>
          </c:layout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  <c:pivotFmt>
        <c:idx val="21"/>
      </c:pivotFmt>
      <c:pivotFmt>
        <c:idx val="2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</c:pivotFmt>
      <c:pivotFmt>
        <c:idx val="2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</c:pivotFmt>
      <c:pivotFmt>
        <c:idx val="99"/>
      </c:pivotFmt>
      <c:pivotFmt>
        <c:idx val="100"/>
        <c:dLbl>
          <c:idx val="0"/>
          <c:layout>
            <c:manualLayout>
              <c:x val="0.10529355345252706"/>
              <c:y val="-5.9560048637153536E-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5641879687724665"/>
                  <c:h val="0.10271401114970932"/>
                </c:manualLayout>
              </c15:layout>
            </c:ext>
          </c:extLst>
        </c:dLbl>
      </c:pivotFmt>
      <c:pivotFmt>
        <c:idx val="101"/>
        <c:dLbl>
          <c:idx val="0"/>
          <c:layout>
            <c:manualLayout>
              <c:x val="-9.6268391728024746E-2"/>
              <c:y val="3.7901849132734068E-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5342533313151081"/>
                  <c:h val="9.1884911397499588E-2"/>
                </c:manualLayout>
              </c15:layout>
            </c:ext>
          </c:extLst>
        </c:dLbl>
      </c:pivotFmt>
      <c:pivotFmt>
        <c:idx val="102"/>
      </c:pivotFmt>
      <c:pivotFmt>
        <c:idx val="103"/>
        <c:dLbl>
          <c:idx val="0"/>
          <c:layout>
            <c:manualLayout>
              <c:x val="-0.16546129828254255"/>
              <c:y val="-3.2487299256629243E-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2687446805436"/>
                  <c:h val="9.1884911397499588E-2"/>
                </c:manualLayout>
              </c15:layout>
            </c:ext>
          </c:extLst>
        </c:dLbl>
      </c:pivotFmt>
      <c:pivotFmt>
        <c:idx val="104"/>
      </c:pivotFmt>
      <c:pivotFmt>
        <c:idx val="105"/>
        <c:dLbl>
          <c:idx val="0"/>
          <c:layout>
            <c:manualLayout>
              <c:x val="0.20158859428013196"/>
              <c:y val="-6.226668406144107E-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034015621346849"/>
                  <c:h val="0.10263300607282271"/>
                </c:manualLayout>
              </c15:layout>
            </c:ext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3813954883806072E-2"/>
              <c:y val="-5.4573972983527931E-2"/>
            </c:manualLayout>
          </c:layout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layout>
            <c:manualLayout>
              <c:x val="-0.17265117290759482"/>
              <c:y val="-2.481640025097394E-1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layout>
            <c:manualLayout>
              <c:x val="0.15181396238426437"/>
              <c:y val="-5.4145498761048669E-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5335455650493647"/>
                  <c:h val="0.19468035396660544"/>
                </c:manualLayout>
              </c15:layout>
            </c:ext>
          </c:extLst>
        </c:dLbl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ANÁLISE!$B$215:$B$216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584-4358-A097-531E665D07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ANÁLISE!$A$217:$A$225</c:f>
              <c:strCache>
                <c:ptCount val="8"/>
                <c:pt idx="0">
                  <c:v>AF</c:v>
                </c:pt>
                <c:pt idx="1">
                  <c:v>AURICULO</c:v>
                </c:pt>
                <c:pt idx="2">
                  <c:v>ENF</c:v>
                </c:pt>
                <c:pt idx="3">
                  <c:v>ERGO</c:v>
                </c:pt>
                <c:pt idx="4">
                  <c:v>FISIO</c:v>
                </c:pt>
                <c:pt idx="5">
                  <c:v>GL</c:v>
                </c:pt>
                <c:pt idx="6">
                  <c:v>MASSO</c:v>
                </c:pt>
                <c:pt idx="7">
                  <c:v>MED</c:v>
                </c:pt>
              </c:strCache>
            </c:strRef>
          </c:cat>
          <c:val>
            <c:numRef>
              <c:f>ANÁLISE!$B$217:$B$225</c:f>
              <c:numCache>
                <c:formatCode>_("R$"* #,##0.00_);_("R$"* \(#,##0.00\);_("R$"* "-"??_);_(@_)</c:formatCode>
                <c:ptCount val="8"/>
                <c:pt idx="3">
                  <c:v>8850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0D5-4DFA-9DA4-61020D9665D7}"/>
            </c:ext>
          </c:extLst>
        </c:ser>
        <c:ser>
          <c:idx val="1"/>
          <c:order val="1"/>
          <c:tx>
            <c:strRef>
              <c:f>ANÁLISE!$C$215:$C$216</c:f>
              <c:strCache>
                <c:ptCount val="1"/>
                <c:pt idx="0">
                  <c:v>fev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B97-49A3-BC71-06D1708F422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8B-49A2-BF07-63269A58552D}"/>
              </c:ext>
            </c:extLst>
          </c:dPt>
          <c:dLbls>
            <c:dLbl>
              <c:idx val="6"/>
              <c:layout>
                <c:manualLayout>
                  <c:x val="2.3813954883806072E-2"/>
                  <c:y val="-5.457397298352793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8B-49A2-BF07-63269A58552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ANÁLISE!$A$217:$A$225</c:f>
              <c:strCache>
                <c:ptCount val="8"/>
                <c:pt idx="0">
                  <c:v>AF</c:v>
                </c:pt>
                <c:pt idx="1">
                  <c:v>AURICULO</c:v>
                </c:pt>
                <c:pt idx="2">
                  <c:v>ENF</c:v>
                </c:pt>
                <c:pt idx="3">
                  <c:v>ERGO</c:v>
                </c:pt>
                <c:pt idx="4">
                  <c:v>FISIO</c:v>
                </c:pt>
                <c:pt idx="5">
                  <c:v>GL</c:v>
                </c:pt>
                <c:pt idx="6">
                  <c:v>MASSO</c:v>
                </c:pt>
                <c:pt idx="7">
                  <c:v>MED</c:v>
                </c:pt>
              </c:strCache>
            </c:strRef>
          </c:cat>
          <c:val>
            <c:numRef>
              <c:f>ANÁLISE!$C$217:$C$225</c:f>
              <c:numCache>
                <c:formatCode>_("R$"* #,##0.00_);_("R$"* \(#,##0.00\);_("R$"* "-"??_);_(@_)</c:formatCode>
                <c:ptCount val="8"/>
                <c:pt idx="3">
                  <c:v>12302.93</c:v>
                </c:pt>
                <c:pt idx="6">
                  <c:v>1350</c:v>
                </c:pt>
                <c:pt idx="7">
                  <c:v>297500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84-4358-A097-531E665D070E}"/>
            </c:ext>
          </c:extLst>
        </c:ser>
        <c:ser>
          <c:idx val="2"/>
          <c:order val="2"/>
          <c:tx>
            <c:strRef>
              <c:f>ANÁLISE!$D$215:$D$216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ANÁLISE!$A$217:$A$225</c:f>
              <c:strCache>
                <c:ptCount val="8"/>
                <c:pt idx="0">
                  <c:v>AF</c:v>
                </c:pt>
                <c:pt idx="1">
                  <c:v>AURICULO</c:v>
                </c:pt>
                <c:pt idx="2">
                  <c:v>ENF</c:v>
                </c:pt>
                <c:pt idx="3">
                  <c:v>ERGO</c:v>
                </c:pt>
                <c:pt idx="4">
                  <c:v>FISIO</c:v>
                </c:pt>
                <c:pt idx="5">
                  <c:v>GL</c:v>
                </c:pt>
                <c:pt idx="6">
                  <c:v>MASSO</c:v>
                </c:pt>
                <c:pt idx="7">
                  <c:v>MED</c:v>
                </c:pt>
              </c:strCache>
            </c:strRef>
          </c:cat>
          <c:val>
            <c:numRef>
              <c:f>ANÁLISE!$D$217:$D$225</c:f>
              <c:numCache>
                <c:formatCode>_("R$"* #,##0.00_);_("R$"* \(#,##0.00\);_("R$"* "-"??_);_(@_)</c:formatCode>
                <c:ptCount val="8"/>
                <c:pt idx="1">
                  <c:v>2450</c:v>
                </c:pt>
                <c:pt idx="3">
                  <c:v>312096.00999999995</c:v>
                </c:pt>
                <c:pt idx="4">
                  <c:v>315000</c:v>
                </c:pt>
                <c:pt idx="5">
                  <c:v>1550</c:v>
                </c:pt>
                <c:pt idx="6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84-4358-A097-531E665D070E}"/>
            </c:ext>
          </c:extLst>
        </c:ser>
        <c:ser>
          <c:idx val="3"/>
          <c:order val="3"/>
          <c:tx>
            <c:strRef>
              <c:f>ANÁLISE!$E$215:$E$216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ANÁLISE!$A$217:$A$225</c:f>
              <c:strCache>
                <c:ptCount val="8"/>
                <c:pt idx="0">
                  <c:v>AF</c:v>
                </c:pt>
                <c:pt idx="1">
                  <c:v>AURICULO</c:v>
                </c:pt>
                <c:pt idx="2">
                  <c:v>ENF</c:v>
                </c:pt>
                <c:pt idx="3">
                  <c:v>ERGO</c:v>
                </c:pt>
                <c:pt idx="4">
                  <c:v>FISIO</c:v>
                </c:pt>
                <c:pt idx="5">
                  <c:v>GL</c:v>
                </c:pt>
                <c:pt idx="6">
                  <c:v>MASSO</c:v>
                </c:pt>
                <c:pt idx="7">
                  <c:v>MED</c:v>
                </c:pt>
              </c:strCache>
            </c:strRef>
          </c:cat>
          <c:val>
            <c:numRef>
              <c:f>ANÁLISE!$E$217:$E$225</c:f>
              <c:numCache>
                <c:formatCode>_("R$"* #,##0.00_);_("R$"* \(#,##0.00\);_("R$"* "-"??_);_(@_)</c:formatCode>
                <c:ptCount val="8"/>
                <c:pt idx="0">
                  <c:v>21601.7</c:v>
                </c:pt>
                <c:pt idx="3">
                  <c:v>247406.12666666665</c:v>
                </c:pt>
                <c:pt idx="5">
                  <c:v>79200</c:v>
                </c:pt>
                <c:pt idx="6">
                  <c:v>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84-4358-A097-531E665D070E}"/>
            </c:ext>
          </c:extLst>
        </c:ser>
        <c:ser>
          <c:idx val="4"/>
          <c:order val="4"/>
          <c:tx>
            <c:strRef>
              <c:f>ANÁLISE!$F$215:$F$216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ANÁLISE!$A$217:$A$225</c:f>
              <c:strCache>
                <c:ptCount val="8"/>
                <c:pt idx="0">
                  <c:v>AF</c:v>
                </c:pt>
                <c:pt idx="1">
                  <c:v>AURICULO</c:v>
                </c:pt>
                <c:pt idx="2">
                  <c:v>ENF</c:v>
                </c:pt>
                <c:pt idx="3">
                  <c:v>ERGO</c:v>
                </c:pt>
                <c:pt idx="4">
                  <c:v>FISIO</c:v>
                </c:pt>
                <c:pt idx="5">
                  <c:v>GL</c:v>
                </c:pt>
                <c:pt idx="6">
                  <c:v>MASSO</c:v>
                </c:pt>
                <c:pt idx="7">
                  <c:v>MED</c:v>
                </c:pt>
              </c:strCache>
            </c:strRef>
          </c:cat>
          <c:val>
            <c:numRef>
              <c:f>ANÁLISE!$F$217:$F$225</c:f>
              <c:numCache>
                <c:formatCode>_("R$"* #,##0.00_);_("R$"* \(#,##0.00\);_("R$"* "-"??_);_(@_)</c:formatCode>
                <c:ptCount val="8"/>
                <c:pt idx="3">
                  <c:v>54650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CC-4F14-B205-2FC022FFF405}"/>
            </c:ext>
          </c:extLst>
        </c:ser>
        <c:ser>
          <c:idx val="5"/>
          <c:order val="5"/>
          <c:tx>
            <c:strRef>
              <c:f>ANÁLISE!$G$215:$G$216</c:f>
              <c:strCache>
                <c:ptCount val="1"/>
                <c:pt idx="0">
                  <c:v>dez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ANÁLISE!$A$217:$A$225</c:f>
              <c:strCache>
                <c:ptCount val="8"/>
                <c:pt idx="0">
                  <c:v>AF</c:v>
                </c:pt>
                <c:pt idx="1">
                  <c:v>AURICULO</c:v>
                </c:pt>
                <c:pt idx="2">
                  <c:v>ENF</c:v>
                </c:pt>
                <c:pt idx="3">
                  <c:v>ERGO</c:v>
                </c:pt>
                <c:pt idx="4">
                  <c:v>FISIO</c:v>
                </c:pt>
                <c:pt idx="5">
                  <c:v>GL</c:v>
                </c:pt>
                <c:pt idx="6">
                  <c:v>MASSO</c:v>
                </c:pt>
                <c:pt idx="7">
                  <c:v>MED</c:v>
                </c:pt>
              </c:strCache>
            </c:strRef>
          </c:cat>
          <c:val>
            <c:numRef>
              <c:f>ANÁLISE!$G$217:$G$225</c:f>
              <c:numCache>
                <c:formatCode>_("R$"* #,##0.00_);_("R$"* \(#,##0.00\);_("R$"* "-"??_);_(@_)</c:formatCode>
                <c:ptCount val="8"/>
                <c:pt idx="2">
                  <c:v>470199.36</c:v>
                </c:pt>
                <c:pt idx="3">
                  <c:v>124784.70999999999</c:v>
                </c:pt>
                <c:pt idx="7">
                  <c:v>122500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66-443D-B823-59A2241F3C7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616082144"/>
        <c:axId val="1616082624"/>
      </c:barChart>
      <c:catAx>
        <c:axId val="161608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6082624"/>
        <c:crosses val="autoZero"/>
        <c:auto val="1"/>
        <c:lblAlgn val="ctr"/>
        <c:lblOffset val="100"/>
        <c:noMultiLvlLbl val="0"/>
      </c:catAx>
      <c:valAx>
        <c:axId val="161608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608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ACUMULADO META VENDAS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965-4AF2-B907-4B4EF012A8D4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65-4AF2-B907-4B4EF012A8D4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0D-4D9F-B284-08AF20275F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ACUMULADO!$A$2:$A$4</c:f>
              <c:strCache>
                <c:ptCount val="3"/>
                <c:pt idx="0">
                  <c:v>VENDAS RECORRENTES</c:v>
                </c:pt>
                <c:pt idx="1">
                  <c:v>VENDAS PONTUAIS</c:v>
                </c:pt>
                <c:pt idx="2">
                  <c:v>META TOTAL</c:v>
                </c:pt>
              </c:strCache>
            </c:strRef>
          </c:cat>
          <c:val>
            <c:numRef>
              <c:f>ACUMULADO!$N$2:$N$4</c:f>
              <c:numCache>
                <c:formatCode>0%</c:formatCode>
                <c:ptCount val="3"/>
                <c:pt idx="0">
                  <c:v>0.46309803750000006</c:v>
                </c:pt>
                <c:pt idx="1">
                  <c:v>0.74553389583333329</c:v>
                </c:pt>
                <c:pt idx="2">
                  <c:v>0.51958520916666662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D-4D9F-B284-08AF20275F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2843520"/>
        <c:axId val="792844000"/>
      </c:barChart>
      <c:catAx>
        <c:axId val="79284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844000"/>
        <c:crosses val="autoZero"/>
        <c:auto val="1"/>
        <c:lblAlgn val="ctr"/>
        <c:lblOffset val="100"/>
        <c:noMultiLvlLbl val="0"/>
      </c:catAx>
      <c:valAx>
        <c:axId val="79284400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9284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[Base_Painel_KPI_.xlsx]ANÁLISE!PROPOS_ENV_SEMANA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DIVISÃO DE PROPOSTAS POR SEMANA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ANÁLISE!$B$152:$B$153</c:f>
              <c:strCache>
                <c:ptCount val="1"/>
                <c:pt idx="0">
                  <c:v>1ª semana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ANÁLISE!$A$154:$A$159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ANÁLISE!$B$154:$B$159</c:f>
              <c:numCache>
                <c:formatCode>General</c:formatCode>
                <c:ptCount val="5"/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9E-43F9-983F-9FFABCEAABA2}"/>
            </c:ext>
          </c:extLst>
        </c:ser>
        <c:ser>
          <c:idx val="1"/>
          <c:order val="1"/>
          <c:tx>
            <c:strRef>
              <c:f>ANÁLISE!$C$152:$C$153</c:f>
              <c:strCache>
                <c:ptCount val="1"/>
                <c:pt idx="0">
                  <c:v>2ª semana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ANÁLISE!$A$154:$A$159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ANÁLISE!$C$154:$C$159</c:f>
              <c:numCache>
                <c:formatCode>General</c:formatCode>
                <c:ptCount val="5"/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9E-43F9-983F-9FFABCEAABA2}"/>
            </c:ext>
          </c:extLst>
        </c:ser>
        <c:ser>
          <c:idx val="2"/>
          <c:order val="2"/>
          <c:tx>
            <c:strRef>
              <c:f>ANÁLISE!$D$152:$D$153</c:f>
              <c:strCache>
                <c:ptCount val="1"/>
                <c:pt idx="0">
                  <c:v>3ª semana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ANÁLISE!$A$154:$A$159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ANÁLISE!$D$154:$D$159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9E-43F9-983F-9FFABCEAABA2}"/>
            </c:ext>
          </c:extLst>
        </c:ser>
        <c:ser>
          <c:idx val="3"/>
          <c:order val="3"/>
          <c:tx>
            <c:strRef>
              <c:f>ANÁLISE!$E$152:$E$153</c:f>
              <c:strCache>
                <c:ptCount val="1"/>
                <c:pt idx="0">
                  <c:v>4ª semana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ANÁLISE!$A$154:$A$159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ANÁLISE!$E$154:$E$159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9E-43F9-983F-9FFABCEAABA2}"/>
            </c:ext>
          </c:extLst>
        </c:ser>
        <c:ser>
          <c:idx val="4"/>
          <c:order val="4"/>
          <c:tx>
            <c:strRef>
              <c:f>ANÁLISE!$F$152:$F$153</c:f>
              <c:strCache>
                <c:ptCount val="1"/>
                <c:pt idx="0">
                  <c:v>5ª semana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ANÁLISE!$A$154:$A$159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ANÁLISE!$F$154:$F$159</c:f>
              <c:numCache>
                <c:formatCode>General</c:formatCode>
                <c:ptCount val="5"/>
                <c:pt idx="0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9E-43F9-983F-9FFABCEAAB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36769408"/>
        <c:axId val="236772288"/>
      </c:barChart>
      <c:catAx>
        <c:axId val="23676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6772288"/>
        <c:crosses val="autoZero"/>
        <c:auto val="1"/>
        <c:lblAlgn val="ctr"/>
        <c:lblOffset val="100"/>
        <c:noMultiLvlLbl val="0"/>
      </c:catAx>
      <c:valAx>
        <c:axId val="236772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676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[Base_Painel_KPI_.xlsx]ANÁLISE!CONT_PROP_ENVIA_MÊS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/>
              <a:t>LEAD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ANÁLISE!$AV$91:$AV$92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ANÁLISE!$AU$93:$AU$94</c:f>
              <c:strCache>
                <c:ptCount val="1"/>
                <c:pt idx="0">
                  <c:v>S</c:v>
                </c:pt>
              </c:strCache>
            </c:strRef>
          </c:cat>
          <c:val>
            <c:numRef>
              <c:f>ANÁLISE!$AV$93:$AV$94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B-4AF3-BAEA-482B2E43D3B6}"/>
            </c:ext>
          </c:extLst>
        </c:ser>
        <c:ser>
          <c:idx val="1"/>
          <c:order val="1"/>
          <c:tx>
            <c:strRef>
              <c:f>ANÁLISE!$AW$91:$AW$92</c:f>
              <c:strCache>
                <c:ptCount val="1"/>
                <c:pt idx="0">
                  <c:v>fev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ANÁLISE!$AU$93:$AU$94</c:f>
              <c:strCache>
                <c:ptCount val="1"/>
                <c:pt idx="0">
                  <c:v>S</c:v>
                </c:pt>
              </c:strCache>
            </c:strRef>
          </c:cat>
          <c:val>
            <c:numRef>
              <c:f>ANÁLISE!$AW$93:$AW$94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7B-4AF3-BAEA-482B2E43D3B6}"/>
            </c:ext>
          </c:extLst>
        </c:ser>
        <c:ser>
          <c:idx val="2"/>
          <c:order val="2"/>
          <c:tx>
            <c:strRef>
              <c:f>ANÁLISE!$AX$91:$AX$92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ANÁLISE!$AU$93:$AU$94</c:f>
              <c:strCache>
                <c:ptCount val="1"/>
                <c:pt idx="0">
                  <c:v>S</c:v>
                </c:pt>
              </c:strCache>
            </c:strRef>
          </c:cat>
          <c:val>
            <c:numRef>
              <c:f>ANÁLISE!$AX$93:$AX$94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9-4361-841C-8020353687BB}"/>
            </c:ext>
          </c:extLst>
        </c:ser>
        <c:ser>
          <c:idx val="3"/>
          <c:order val="3"/>
          <c:tx>
            <c:strRef>
              <c:f>ANÁLISE!$AY$91:$AY$92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ANÁLISE!$AU$93:$AU$94</c:f>
              <c:strCache>
                <c:ptCount val="1"/>
                <c:pt idx="0">
                  <c:v>S</c:v>
                </c:pt>
              </c:strCache>
            </c:strRef>
          </c:cat>
          <c:val>
            <c:numRef>
              <c:f>ANÁLISE!$AY$93:$AY$94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9-4361-841C-8020353687BB}"/>
            </c:ext>
          </c:extLst>
        </c:ser>
        <c:ser>
          <c:idx val="4"/>
          <c:order val="4"/>
          <c:tx>
            <c:strRef>
              <c:f>ANÁLISE!$AZ$91:$AZ$92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ANÁLISE!$AU$93:$AU$94</c:f>
              <c:strCache>
                <c:ptCount val="1"/>
                <c:pt idx="0">
                  <c:v>S</c:v>
                </c:pt>
              </c:strCache>
            </c:strRef>
          </c:cat>
          <c:val>
            <c:numRef>
              <c:f>ANÁLISE!$AZ$93:$AZ$94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29-4361-841C-8020353687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73341536"/>
        <c:axId val="673347296"/>
      </c:barChart>
      <c:catAx>
        <c:axId val="67334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3347296"/>
        <c:crosses val="autoZero"/>
        <c:auto val="1"/>
        <c:lblAlgn val="ctr"/>
        <c:lblOffset val="100"/>
        <c:noMultiLvlLbl val="0"/>
      </c:catAx>
      <c:valAx>
        <c:axId val="673347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334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[Base_Painel_KPI_.xlsx]ANÁLISE!Tabela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ICP</a:t>
            </a:r>
            <a:r>
              <a:rPr lang="pt-BR" baseline="0"/>
              <a:t> - LEADS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ANÁLISE!$B$323:$B$324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ANÁLISE!$A$325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ANÁLISE!$B$325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D-4CDE-A108-97DFA34DD921}"/>
            </c:ext>
          </c:extLst>
        </c:ser>
        <c:ser>
          <c:idx val="1"/>
          <c:order val="1"/>
          <c:tx>
            <c:strRef>
              <c:f>ANÁLISE!$C$323:$C$324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ANÁLISE!$A$325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ANÁLISE!$C$325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4D-4CDE-A108-97DFA34DD921}"/>
            </c:ext>
          </c:extLst>
        </c:ser>
        <c:ser>
          <c:idx val="2"/>
          <c:order val="2"/>
          <c:tx>
            <c:strRef>
              <c:f>ANÁLISE!$D$323:$D$324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ANÁLISE!$A$325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ANÁLISE!$D$325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4D-4CDE-A108-97DFA34DD9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41608351"/>
        <c:axId val="641605471"/>
      </c:barChart>
      <c:catAx>
        <c:axId val="64160835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1605471"/>
        <c:crosses val="autoZero"/>
        <c:auto val="1"/>
        <c:lblAlgn val="ctr"/>
        <c:lblOffset val="100"/>
        <c:noMultiLvlLbl val="0"/>
      </c:catAx>
      <c:valAx>
        <c:axId val="641605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160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35722</xdr:colOff>
      <xdr:row>0</xdr:row>
      <xdr:rowOff>0</xdr:rowOff>
    </xdr:from>
    <xdr:to>
      <xdr:col>10</xdr:col>
      <xdr:colOff>423334</xdr:colOff>
      <xdr:row>12</xdr:row>
      <xdr:rowOff>130970</xdr:rowOff>
    </xdr:to>
    <xdr:graphicFrame macro="">
      <xdr:nvGraphicFramePr>
        <xdr:cNvPr id="3" name="VOLUME_PROPOSTA_MÊS">
          <a:extLst>
            <a:ext uri="{FF2B5EF4-FFF2-40B4-BE49-F238E27FC236}">
              <a16:creationId xmlns:a16="http://schemas.microsoft.com/office/drawing/2014/main" id="{E45DB81A-913E-4C0F-BE07-652217A22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916641</xdr:colOff>
      <xdr:row>0</xdr:row>
      <xdr:rowOff>0</xdr:rowOff>
    </xdr:from>
    <xdr:to>
      <xdr:col>2</xdr:col>
      <xdr:colOff>1228725</xdr:colOff>
      <xdr:row>7</xdr:row>
      <xdr:rowOff>152400</xdr:rowOff>
    </xdr:to>
    <xdr:graphicFrame macro="">
      <xdr:nvGraphicFramePr>
        <xdr:cNvPr id="2" name="PROPOSTA_ENVIADAS">
          <a:extLst>
            <a:ext uri="{FF2B5EF4-FFF2-40B4-BE49-F238E27FC236}">
              <a16:creationId xmlns:a16="http://schemas.microsoft.com/office/drawing/2014/main" id="{695A070A-331F-4579-80E9-663E0459D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990601</xdr:colOff>
      <xdr:row>0</xdr:row>
      <xdr:rowOff>1</xdr:rowOff>
    </xdr:from>
    <xdr:to>
      <xdr:col>8</xdr:col>
      <xdr:colOff>11205</xdr:colOff>
      <xdr:row>7</xdr:row>
      <xdr:rowOff>146539</xdr:rowOff>
    </xdr:to>
    <xdr:graphicFrame macro="">
      <xdr:nvGraphicFramePr>
        <xdr:cNvPr id="5" name="ENVIADAS_TRIMESTRE">
          <a:extLst>
            <a:ext uri="{FF2B5EF4-FFF2-40B4-BE49-F238E27FC236}">
              <a16:creationId xmlns:a16="http://schemas.microsoft.com/office/drawing/2014/main" id="{17F37586-E315-4E69-808A-D15DC68A7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906451</xdr:colOff>
      <xdr:row>20</xdr:row>
      <xdr:rowOff>77742</xdr:rowOff>
    </xdr:from>
    <xdr:to>
      <xdr:col>4</xdr:col>
      <xdr:colOff>916780</xdr:colOff>
      <xdr:row>32</xdr:row>
      <xdr:rowOff>142875</xdr:rowOff>
    </xdr:to>
    <xdr:graphicFrame macro="">
      <xdr:nvGraphicFramePr>
        <xdr:cNvPr id="18" name="VENDAS_MÊS">
          <a:extLst>
            <a:ext uri="{FF2B5EF4-FFF2-40B4-BE49-F238E27FC236}">
              <a16:creationId xmlns:a16="http://schemas.microsoft.com/office/drawing/2014/main" id="{CD2D0EC6-B422-4F97-B4F0-2F530F6B2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940594</xdr:colOff>
      <xdr:row>20</xdr:row>
      <xdr:rowOff>83343</xdr:rowOff>
    </xdr:from>
    <xdr:to>
      <xdr:col>8</xdr:col>
      <xdr:colOff>0</xdr:colOff>
      <xdr:row>32</xdr:row>
      <xdr:rowOff>142875</xdr:rowOff>
    </xdr:to>
    <xdr:graphicFrame macro="">
      <xdr:nvGraphicFramePr>
        <xdr:cNvPr id="23" name="VENDAS_POR_SERVIÇO">
          <a:extLst>
            <a:ext uri="{FF2B5EF4-FFF2-40B4-BE49-F238E27FC236}">
              <a16:creationId xmlns:a16="http://schemas.microsoft.com/office/drawing/2014/main" id="{2B013D1E-6D32-4419-9868-A50A82159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36812</xdr:colOff>
      <xdr:row>12</xdr:row>
      <xdr:rowOff>158928</xdr:rowOff>
    </xdr:from>
    <xdr:to>
      <xdr:col>10</xdr:col>
      <xdr:colOff>423334</xdr:colOff>
      <xdr:row>32</xdr:row>
      <xdr:rowOff>142874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7A77A7-0C05-4F87-A712-D08C0A655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</xdr:row>
      <xdr:rowOff>179917</xdr:rowOff>
    </xdr:from>
    <xdr:to>
      <xdr:col>1</xdr:col>
      <xdr:colOff>836083</xdr:colOff>
      <xdr:row>11</xdr:row>
      <xdr:rowOff>174625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ata de envio (Mês)">
              <a:extLst>
                <a:ext uri="{FF2B5EF4-FFF2-40B4-BE49-F238E27FC236}">
                  <a16:creationId xmlns:a16="http://schemas.microsoft.com/office/drawing/2014/main" id="{F6FBA7FB-AA55-83C8-61BC-6821244600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de envio (Mê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32417"/>
              <a:ext cx="2032000" cy="11377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12</xdr:row>
      <xdr:rowOff>19845</xdr:rowOff>
    </xdr:from>
    <xdr:to>
      <xdr:col>1</xdr:col>
      <xdr:colOff>825500</xdr:colOff>
      <xdr:row>16</xdr:row>
      <xdr:rowOff>129749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posta Enviada ?">
              <a:extLst>
                <a:ext uri="{FF2B5EF4-FFF2-40B4-BE49-F238E27FC236}">
                  <a16:creationId xmlns:a16="http://schemas.microsoft.com/office/drawing/2014/main" id="{9E8D6AA4-4F6B-8144-D483-A1BB2ABCD0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posta Enviada ?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05845"/>
              <a:ext cx="2021417" cy="8719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33</xdr:row>
      <xdr:rowOff>92851</xdr:rowOff>
    </xdr:from>
    <xdr:to>
      <xdr:col>1</xdr:col>
      <xdr:colOff>814916</xdr:colOff>
      <xdr:row>39</xdr:row>
      <xdr:rowOff>11828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ata (Mês)">
              <a:extLst>
                <a:ext uri="{FF2B5EF4-FFF2-40B4-BE49-F238E27FC236}">
                  <a16:creationId xmlns:a16="http://schemas.microsoft.com/office/drawing/2014/main" id="{4DEAE6D0-289E-250D-30B5-036C22DEE9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(Mê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379351"/>
              <a:ext cx="2010833" cy="682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16</xdr:row>
      <xdr:rowOff>148716</xdr:rowOff>
    </xdr:from>
    <xdr:to>
      <xdr:col>1</xdr:col>
      <xdr:colOff>846666</xdr:colOff>
      <xdr:row>22</xdr:row>
      <xdr:rowOff>131375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IPO">
              <a:extLst>
                <a:ext uri="{FF2B5EF4-FFF2-40B4-BE49-F238E27FC236}">
                  <a16:creationId xmlns:a16="http://schemas.microsoft.com/office/drawing/2014/main" id="{1950E3E9-42D7-B8B6-9591-07EA948DB4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196716"/>
              <a:ext cx="2042583" cy="11256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22</xdr:row>
      <xdr:rowOff>158750</xdr:rowOff>
    </xdr:from>
    <xdr:to>
      <xdr:col>1</xdr:col>
      <xdr:colOff>825500</xdr:colOff>
      <xdr:row>29</xdr:row>
      <xdr:rowOff>119368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lassificação">
              <a:extLst>
                <a:ext uri="{FF2B5EF4-FFF2-40B4-BE49-F238E27FC236}">
                  <a16:creationId xmlns:a16="http://schemas.microsoft.com/office/drawing/2014/main" id="{B83B254C-92A6-A7E5-8B70-20B98CC88E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sifica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349750"/>
              <a:ext cx="2021417" cy="12941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29</xdr:row>
      <xdr:rowOff>144037</xdr:rowOff>
    </xdr:from>
    <xdr:to>
      <xdr:col>1</xdr:col>
      <xdr:colOff>825499</xdr:colOff>
      <xdr:row>33</xdr:row>
      <xdr:rowOff>59533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Classificação 1">
              <a:extLst>
                <a:ext uri="{FF2B5EF4-FFF2-40B4-BE49-F238E27FC236}">
                  <a16:creationId xmlns:a16="http://schemas.microsoft.com/office/drawing/2014/main" id="{9D59C7E7-0BC5-BA21-A6C6-E14136554A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sificaçã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668537"/>
              <a:ext cx="2021416" cy="6774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1171576</xdr:colOff>
      <xdr:row>7</xdr:row>
      <xdr:rowOff>179294</xdr:rowOff>
    </xdr:from>
    <xdr:to>
      <xdr:col>8</xdr:col>
      <xdr:colOff>1</xdr:colOff>
      <xdr:row>20</xdr:row>
      <xdr:rowOff>59532</xdr:rowOff>
    </xdr:to>
    <xdr:graphicFrame macro="">
      <xdr:nvGraphicFramePr>
        <xdr:cNvPr id="15" name="PROPOSTA_ENVIA_SEMANAL">
          <a:extLst>
            <a:ext uri="{FF2B5EF4-FFF2-40B4-BE49-F238E27FC236}">
              <a16:creationId xmlns:a16="http://schemas.microsoft.com/office/drawing/2014/main" id="{9DA452C8-F221-4F29-98DB-F8B7D5B53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1260383</xdr:colOff>
      <xdr:row>0</xdr:row>
      <xdr:rowOff>0</xdr:rowOff>
    </xdr:from>
    <xdr:to>
      <xdr:col>4</xdr:col>
      <xdr:colOff>952500</xdr:colOff>
      <xdr:row>7</xdr:row>
      <xdr:rowOff>154780</xdr:rowOff>
    </xdr:to>
    <xdr:graphicFrame macro="">
      <xdr:nvGraphicFramePr>
        <xdr:cNvPr id="16" name="LEAD_MÊS">
          <a:extLst>
            <a:ext uri="{FF2B5EF4-FFF2-40B4-BE49-F238E27FC236}">
              <a16:creationId xmlns:a16="http://schemas.microsoft.com/office/drawing/2014/main" id="{E2FD9B4E-52F8-41F3-931F-06379C288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825500</xdr:colOff>
      <xdr:row>5</xdr:row>
      <xdr:rowOff>158750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Mês LEAD">
              <a:extLst>
                <a:ext uri="{FF2B5EF4-FFF2-40B4-BE49-F238E27FC236}">
                  <a16:creationId xmlns:a16="http://schemas.microsoft.com/office/drawing/2014/main" id="{5E365866-58D3-4110-A755-F5710C074E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LE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087924" cy="9235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907677</xdr:colOff>
      <xdr:row>7</xdr:row>
      <xdr:rowOff>179294</xdr:rowOff>
    </xdr:from>
    <xdr:to>
      <xdr:col>3</xdr:col>
      <xdr:colOff>1143000</xdr:colOff>
      <xdr:row>20</xdr:row>
      <xdr:rowOff>67236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FD2921D3-AF62-4CD0-BA76-2DCFC6837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95249</xdr:colOff>
      <xdr:row>1</xdr:row>
      <xdr:rowOff>137584</xdr:rowOff>
    </xdr:from>
    <xdr:to>
      <xdr:col>8</xdr:col>
      <xdr:colOff>1143000</xdr:colOff>
      <xdr:row>3</xdr:row>
      <xdr:rowOff>42334</xdr:rowOff>
    </xdr:to>
    <xdr:sp macro="" textlink="$G$36">
      <xdr:nvSpPr>
        <xdr:cNvPr id="19" name="Retângulo: Cantos Arredondados 18">
          <a:extLst>
            <a:ext uri="{FF2B5EF4-FFF2-40B4-BE49-F238E27FC236}">
              <a16:creationId xmlns:a16="http://schemas.microsoft.com/office/drawing/2014/main" id="{980443CF-37BF-4B78-838E-7934D4751CB3}"/>
            </a:ext>
          </a:extLst>
        </xdr:cNvPr>
        <xdr:cNvSpPr/>
      </xdr:nvSpPr>
      <xdr:spPr>
        <a:xfrm>
          <a:off x="11133666" y="328084"/>
          <a:ext cx="1047751" cy="285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800" b="1">
              <a:solidFill>
                <a:schemeClr val="bg1"/>
              </a:solidFill>
            </a:rPr>
            <a:t>R$ 1.750.000,00</a:t>
          </a:r>
        </a:p>
      </xdr:txBody>
    </xdr:sp>
    <xdr:clientData/>
  </xdr:twoCellAnchor>
  <xdr:twoCellAnchor>
    <xdr:from>
      <xdr:col>1</xdr:col>
      <xdr:colOff>1026583</xdr:colOff>
      <xdr:row>25</xdr:row>
      <xdr:rowOff>63500</xdr:rowOff>
    </xdr:from>
    <xdr:to>
      <xdr:col>2</xdr:col>
      <xdr:colOff>137583</xdr:colOff>
      <xdr:row>27</xdr:row>
      <xdr:rowOff>31750</xdr:rowOff>
    </xdr:to>
    <xdr:sp macro="" textlink="$G$36">
      <xdr:nvSpPr>
        <xdr:cNvPr id="24" name="Retângulo: Cantos Arredondados 23">
          <a:extLst>
            <a:ext uri="{FF2B5EF4-FFF2-40B4-BE49-F238E27FC236}">
              <a16:creationId xmlns:a16="http://schemas.microsoft.com/office/drawing/2014/main" id="{D80F9CDD-4831-4282-A963-E5DE792BC5FE}"/>
            </a:ext>
          </a:extLst>
        </xdr:cNvPr>
        <xdr:cNvSpPr/>
      </xdr:nvSpPr>
      <xdr:spPr>
        <a:xfrm>
          <a:off x="2222500" y="4826000"/>
          <a:ext cx="1143000" cy="3492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>
              <a:solidFill>
                <a:schemeClr val="bg1"/>
              </a:solidFill>
            </a:rPr>
            <a:t>R$</a:t>
          </a:r>
          <a:r>
            <a:rPr lang="pt-BR" sz="1000" b="1" baseline="0">
              <a:solidFill>
                <a:schemeClr val="bg1"/>
              </a:solidFill>
            </a:rPr>
            <a:t> 333.000,00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onardo Scaccabarozzi" id="{3709E7DA-87C4-4921-B061-9DC295978717}" userId="S::leonardo@elevalife.com.br::7921a06f-11e8-4cdb-b181-f0cc8544c5bb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" refreshedDate="46167.788859375003" backgroundQuery="1" createdVersion="8" refreshedVersion="8" minRefreshableVersion="3" recordCount="0" supportSubquery="1" supportAdvancedDrill="1" xr:uid="{CDD576F6-42A1-4738-AEA7-C01D81CB4626}">
  <cacheSource type="external" connectionId="1"/>
  <cacheFields count="9">
    <cacheField name="[BASE_VENDAS].[Cliente].[Cliente]" caption="Cliente" numFmtId="0" hierarchy="21" level="1">
      <sharedItems count="22">
        <s v="ACRISURE"/>
        <s v="ADIUM"/>
        <s v="AGCO"/>
        <s v="BARTIRA"/>
        <s v="BTP"/>
        <s v="CAIXA"/>
        <s v="CELANESE"/>
        <s v="Clariant"/>
        <s v="DSM"/>
        <s v="ECO3"/>
        <s v="EMS (GRUPO NC)"/>
        <s v="GERDAU"/>
        <s v="IMERYS"/>
        <s v="KOLBEN"/>
        <s v="Lucas Meyer"/>
        <s v="LYB"/>
        <s v="NSK"/>
        <s v="RINNAI"/>
        <s v="SAINT GOBAIN"/>
        <s v="SUZANO"/>
        <s v="VALLOUREC"/>
        <s v="VERZANI &amp; SANDRINI"/>
      </sharedItems>
    </cacheField>
    <cacheField name="[BASE_VENDAS].[Data (Mês)].[Data (Mês)]" caption="Data (Mês)" numFmtId="0" hierarchy="29" level="1">
      <sharedItems containsSemiMixedTypes="0" containsNonDate="0" containsString="0"/>
    </cacheField>
    <cacheField name="[BASE_VENDAS].[Serviço].[Serviço]" caption="Serviço" numFmtId="0" hierarchy="23" level="1">
      <sharedItems count="8">
        <s v="AF"/>
        <s v="AURICULO"/>
        <s v="ENF"/>
        <s v="ERGO"/>
        <s v="FISIO"/>
        <s v="GL"/>
        <s v="MASSO"/>
        <s v="MED"/>
      </sharedItems>
    </cacheField>
    <cacheField name="[BASE_VENDAS].[ICP].[ICP]" caption="ICP" numFmtId="0" hierarchy="26" level="1">
      <sharedItems containsSemiMixedTypes="0" containsNonDate="0" containsString="0"/>
    </cacheField>
    <cacheField name="[BASE_COM].[Data (Mês)].[Data (Mês)]" caption="Data (Mês)" numFmtId="0" hierarchy="18" level="1">
      <sharedItems containsSemiMixedTypes="0" containsNonDate="0" containsString="0"/>
    </cacheField>
    <cacheField name="[BASE_COM].[Classificação].[Classificação]" caption="Classificação" numFmtId="0" hierarchy="6" level="1">
      <sharedItems containsSemiMixedTypes="0" containsNonDate="0" containsString="0"/>
    </cacheField>
    <cacheField name="[BASE_COM].[TIPO].[TIPO]" caption="TIPO" numFmtId="0" hierarchy="11" level="1">
      <sharedItems containsSemiMixedTypes="0" containsNonDate="0" containsString="0"/>
    </cacheField>
    <cacheField name="[BASE_COM].[Proposta Enviada ?].[Proposta Enviada ?]" caption="Proposta Enviada ?" numFmtId="0" hierarchy="9" level="1">
      <sharedItems containsSemiMixedTypes="0" containsNonDate="0" containsString="0"/>
    </cacheField>
    <cacheField name="[BASE_COM].[Data de envio (Mês)].[Data de envio (Mês)]" caption="Data de envio (Mês)" numFmtId="0" hierarchy="19" level="1">
      <sharedItems containsSemiMixedTypes="0" containsNonDate="0" containsString="0"/>
    </cacheField>
  </cacheFields>
  <cacheHierarchies count="44">
    <cacheHierarchy uniqueName="[BASE_COM].[Data]" caption="Data" attribute="1" time="1" defaultMemberUniqueName="[BASE_COM].[Data].[All]" allUniqueName="[BASE_COM].[Data].[All]" dimensionUniqueName="[BASE_COM]" displayFolder="" count="0" memberValueDatatype="7" unbalanced="0"/>
    <cacheHierarchy uniqueName="[BASE_COM].[Nome]" caption="Nome" attribute="1" defaultMemberUniqueName="[BASE_COM].[Nome].[All]" allUniqueName="[BASE_COM].[Nome].[All]" dimensionUniqueName="[BASE_COM]" displayFolder="" count="0" memberValueDatatype="130" unbalanced="0"/>
    <cacheHierarchy uniqueName="[BASE_COM].[Cliente]" caption="Cliente" attribute="1" defaultMemberUniqueName="[BASE_COM].[Cliente].[All]" allUniqueName="[BASE_COM].[Cliente].[All]" dimensionUniqueName="[BASE_COM]" displayFolder="" count="0" memberValueDatatype="130" unbalanced="0"/>
    <cacheHierarchy uniqueName="[BASE_COM].[Unidade]" caption="Unidade" attribute="1" defaultMemberUniqueName="[BASE_COM].[Unidade].[All]" allUniqueName="[BASE_COM].[Unidade].[All]" dimensionUniqueName="[BASE_COM]" displayFolder="" count="0" memberValueDatatype="130" unbalanced="0"/>
    <cacheHierarchy uniqueName="[BASE_COM].[Fonte]" caption="Fonte" attribute="1" defaultMemberUniqueName="[BASE_COM].[Fonte].[All]" allUniqueName="[BASE_COM].[Fonte].[All]" dimensionUniqueName="[BASE_COM]" displayFolder="" count="0" memberValueDatatype="130" unbalanced="0"/>
    <cacheHierarchy uniqueName="[BASE_COM].[Campanha]" caption="Campanha" attribute="1" defaultMemberUniqueName="[BASE_COM].[Campanha].[All]" allUniqueName="[BASE_COM].[Campanha].[All]" dimensionUniqueName="[BASE_COM]" displayFolder="" count="0" memberValueDatatype="130" unbalanced="0"/>
    <cacheHierarchy uniqueName="[BASE_COM].[Classificação]" caption="Classificação" attribute="1" defaultMemberUniqueName="[BASE_COM].[Classificação].[All]" allUniqueName="[BASE_COM].[Classificação].[All]" dimensionUniqueName="[BASE_COM]" displayFolder="" count="2" memberValueDatatype="130" unbalanced="0">
      <fieldsUsage count="2">
        <fieldUsage x="-1"/>
        <fieldUsage x="5"/>
      </fieldsUsage>
    </cacheHierarchy>
    <cacheHierarchy uniqueName="[BASE_COM].[Entrada]" caption="Entrada" attribute="1" defaultMemberUniqueName="[BASE_COM].[Entrada].[All]" allUniqueName="[BASE_COM].[Entrada].[All]" dimensionUniqueName="[BASE_COM]" displayFolder="" count="0" memberValueDatatype="130" unbalanced="0"/>
    <cacheHierarchy uniqueName="[BASE_COM].[Serviço]" caption="Serviço" attribute="1" defaultMemberUniqueName="[BASE_COM].[Serviço].[All]" allUniqueName="[BASE_COM].[Serviço].[All]" dimensionUniqueName="[BASE_COM]" displayFolder="" count="0" memberValueDatatype="130" unbalanced="0"/>
    <cacheHierarchy uniqueName="[BASE_COM].[Proposta Enviada ?]" caption="Proposta Enviada ?" attribute="1" defaultMemberUniqueName="[BASE_COM].[Proposta Enviada ?].[All]" allUniqueName="[BASE_COM].[Proposta Enviada ?].[All]" dimensionUniqueName="[BASE_COM]" displayFolder="" count="2" memberValueDatatype="130" unbalanced="0">
      <fieldsUsage count="2">
        <fieldUsage x="-1"/>
        <fieldUsage x="7"/>
      </fieldsUsage>
    </cacheHierarchy>
    <cacheHierarchy uniqueName="[BASE_COM].[Valor Proposta]" caption="Valor Proposta" attribute="1" defaultMemberUniqueName="[BASE_COM].[Valor Proposta].[All]" allUniqueName="[BASE_COM].[Valor Proposta].[All]" dimensionUniqueName="[BASE_COM]" displayFolder="" count="0" memberValueDatatype="5" unbalanced="0"/>
    <cacheHierarchy uniqueName="[BASE_COM].[TIPO]" caption="TIPO" attribute="1" defaultMemberUniqueName="[BASE_COM].[TIPO].[All]" allUniqueName="[BASE_COM].[TIPO].[All]" dimensionUniqueName="[BASE_COM]" displayFolder="" count="2" memberValueDatatype="130" unbalanced="0">
      <fieldsUsage count="2">
        <fieldUsage x="-1"/>
        <fieldUsage x="6"/>
      </fieldsUsage>
    </cacheHierarchy>
    <cacheHierarchy uniqueName="[BASE_COM].[Data de envio]" caption="Data de envio" attribute="1" time="1" defaultMemberUniqueName="[BASE_COM].[Data de envio].[All]" allUniqueName="[BASE_COM].[Data de envio].[All]" dimensionUniqueName="[BASE_COM]" displayFolder="" count="0" memberValueDatatype="7" unbalanced="0"/>
    <cacheHierarchy uniqueName="[BASE_COM].[Mês]" caption="Mês" attribute="1" defaultMemberUniqueName="[BASE_COM].[Mês].[All]" allUniqueName="[BASE_COM].[Mês].[All]" dimensionUniqueName="[BASE_COM]" displayFolder="" count="0" memberValueDatatype="130" unbalanced="0"/>
    <cacheHierarchy uniqueName="[BASE_COM].[Semana Entrada]" caption="Semana Entrada" attribute="1" defaultMemberUniqueName="[BASE_COM].[Semana Entrada].[All]" allUniqueName="[BASE_COM].[Semana Entrada].[All]" dimensionUniqueName="[BASE_COM]" displayFolder="" count="0" memberValueDatatype="130" unbalanced="0"/>
    <cacheHierarchy uniqueName="[BASE_COM].[Semana Envio]" caption="Semana Envio" attribute="1" defaultMemberUniqueName="[BASE_COM].[Semana Envio].[All]" allUniqueName="[BASE_COM].[Semana Envio].[All]" dimensionUniqueName="[BASE_COM]" displayFolder="" count="0" memberValueDatatype="130" unbalanced="0"/>
    <cacheHierarchy uniqueName="[BASE_COM].[Data (Ano)]" caption="Data (Ano)" attribute="1" defaultMemberUniqueName="[BASE_COM].[Data (Ano)].[All]" allUniqueName="[BASE_COM].[Data (Ano)].[All]" dimensionUniqueName="[BASE_COM]" displayFolder="" count="0" memberValueDatatype="130" unbalanced="0"/>
    <cacheHierarchy uniqueName="[BASE_COM].[Data (Trimestre)]" caption="Data (Trimestre)" attribute="1" defaultMemberUniqueName="[BASE_COM].[Data (Trimestre)].[All]" allUniqueName="[BASE_COM].[Data (Trimestre)].[All]" dimensionUniqueName="[BASE_COM]" displayFolder="" count="0" memberValueDatatype="130" unbalanced="0"/>
    <cacheHierarchy uniqueName="[BASE_COM].[Data (Mês)]" caption="Data (Mês)" attribute="1" defaultMemberUniqueName="[BASE_COM].[Data (Mês)].[All]" allUniqueName="[BASE_COM].[Data (Mês)].[All]" dimensionUniqueName="[BASE_COM]" displayFolder="" count="2" memberValueDatatype="130" unbalanced="0">
      <fieldsUsage count="2">
        <fieldUsage x="-1"/>
        <fieldUsage x="4"/>
      </fieldsUsage>
    </cacheHierarchy>
    <cacheHierarchy uniqueName="[BASE_COM].[Data de envio (Mês)]" caption="Data de envio (Mês)" attribute="1" defaultMemberUniqueName="[BASE_COM].[Data de envio (Mês)].[All]" allUniqueName="[BASE_COM].[Data de envio (Mês)].[All]" dimensionUniqueName="[BASE_COM]" displayFolder="" count="2" memberValueDatatype="130" unbalanced="0">
      <fieldsUsage count="2">
        <fieldUsage x="-1"/>
        <fieldUsage x="8"/>
      </fieldsUsage>
    </cacheHierarchy>
    <cacheHierarchy uniqueName="[BASE_VENDAS].[Data]" caption="Data" attribute="1" time="1" defaultMemberUniqueName="[BASE_VENDAS].[Data].[All]" allUniqueName="[BASE_VENDAS].[Data].[All]" dimensionUniqueName="[BASE_VENDAS]" displayFolder="" count="0" memberValueDatatype="7" unbalanced="0"/>
    <cacheHierarchy uniqueName="[BASE_VENDAS].[Cliente]" caption="Cliente" attribute="1" defaultMemberUniqueName="[BASE_VENDAS].[Cliente].[All]" allUniqueName="[BASE_VENDAS].[Cliente].[All]" dimensionUniqueName="[BASE_VENDAS]" displayFolder="" count="2" memberValueDatatype="130" unbalanced="0">
      <fieldsUsage count="2">
        <fieldUsage x="-1"/>
        <fieldUsage x="0"/>
      </fieldsUsage>
    </cacheHierarchy>
    <cacheHierarchy uniqueName="[BASE_VENDAS].[Unidade]" caption="Unidade" attribute="1" defaultMemberUniqueName="[BASE_VENDAS].[Unidade].[All]" allUniqueName="[BASE_VENDAS].[Unidade].[All]" dimensionUniqueName="[BASE_VENDAS]" displayFolder="" count="0" memberValueDatatype="130" unbalanced="0"/>
    <cacheHierarchy uniqueName="[BASE_VENDAS].[Serviço]" caption="Serviço" attribute="1" defaultMemberUniqueName="[BASE_VENDAS].[Serviço].[All]" allUniqueName="[BASE_VENDAS].[Serviço].[All]" dimensionUniqueName="[BASE_VENDAS]" displayFolder="" count="2" memberValueDatatype="130" unbalanced="0">
      <fieldsUsage count="2">
        <fieldUsage x="-1"/>
        <fieldUsage x="2"/>
      </fieldsUsage>
    </cacheHierarchy>
    <cacheHierarchy uniqueName="[BASE_VENDAS].[Entrada]" caption="Entrada" attribute="1" defaultMemberUniqueName="[BASE_VENDAS].[Entrada].[All]" allUniqueName="[BASE_VENDAS].[Entrada].[All]" dimensionUniqueName="[BASE_VENDAS]" displayFolder="" count="0" memberValueDatatype="130" unbalanced="0"/>
    <cacheHierarchy uniqueName="[BASE_VENDAS].[Reativação?]" caption="Reativação?" attribute="1" defaultMemberUniqueName="[BASE_VENDAS].[Reativação?].[All]" allUniqueName="[BASE_VENDAS].[Reativação?].[All]" dimensionUniqueName="[BASE_VENDAS]" displayFolder="" count="0" memberValueDatatype="130" unbalanced="0"/>
    <cacheHierarchy uniqueName="[BASE_VENDAS].[ICP]" caption="ICP" attribute="1" defaultMemberUniqueName="[BASE_VENDAS].[ICP].[All]" allUniqueName="[BASE_VENDAS].[ICP].[All]" dimensionUniqueName="[BASE_VENDAS]" displayFolder="" count="2" memberValueDatatype="130" unbalanced="0">
      <fieldsUsage count="2">
        <fieldUsage x="-1"/>
        <fieldUsage x="3"/>
      </fieldsUsage>
    </cacheHierarchy>
    <cacheHierarchy uniqueName="[BASE_VENDAS].[Tipo]" caption="Tipo" attribute="1" defaultMemberUniqueName="[BASE_VENDAS].[Tipo].[All]" allUniqueName="[BASE_VENDAS].[Tipo].[All]" dimensionUniqueName="[BASE_VENDAS]" displayFolder="" count="0" memberValueDatatype="130" unbalanced="0"/>
    <cacheHierarchy uniqueName="[BASE_VENDAS].[Valor]" caption="Valor" attribute="1" defaultMemberUniqueName="[BASE_VENDAS].[Valor].[All]" allUniqueName="[BASE_VENDAS].[Valor].[All]" dimensionUniqueName="[BASE_VENDAS]" displayFolder="" count="0" memberValueDatatype="5" unbalanced="0"/>
    <cacheHierarchy uniqueName="[BASE_VENDAS].[Data (Mês)]" caption="Data (Mês)" attribute="1" defaultMemberUniqueName="[BASE_VENDAS].[Data (Mês)].[All]" allUniqueName="[BASE_VENDAS].[Data (Mês)].[All]" dimensionUniqueName="[BASE_VENDAS]" displayFolder="" count="2" memberValueDatatype="130" unbalanced="0">
      <fieldsUsage count="2">
        <fieldUsage x="-1"/>
        <fieldUsage x="1"/>
      </fieldsUsage>
    </cacheHierarchy>
    <cacheHierarchy uniqueName="[BASE_VENDAS].[MÊS VENDA]" caption="MÊS VENDA" attribute="1" defaultMemberUniqueName="[BASE_VENDAS].[MÊS VENDA].[All]" allUniqueName="[BASE_VENDAS].[MÊS VENDA].[All]" dimensionUniqueName="[BASE_VENDAS]" displayFolder="" count="0" memberValueDatatype="130" unbalanced="0"/>
    <cacheHierarchy uniqueName="[BASE_VENDAS].[ORIGEM]" caption="ORIGEM" attribute="1" defaultMemberUniqueName="[BASE_VENDAS].[ORIGEM].[All]" allUniqueName="[BASE_VENDAS].[ORIGEM].[All]" dimensionUniqueName="[BASE_VENDAS]" displayFolder="" count="0" memberValueDatatype="130" unbalanced="0"/>
    <cacheHierarchy uniqueName="[BASE_COM].[Data (Índice de Mês)]" caption="Data (Índice de Mês)" attribute="1" defaultMemberUniqueName="[BASE_COM].[Data (Índice de Mês)].[All]" allUniqueName="[BASE_COM].[Data (Índice de Mês)].[All]" dimensionUniqueName="[BASE_COM]" displayFolder="" count="0" memberValueDatatype="20" unbalanced="0" hidden="1"/>
    <cacheHierarchy uniqueName="[BASE_COM].[Data de envio (Índice de Mês)]" caption="Data de envio (Índice de Mês)" attribute="1" defaultMemberUniqueName="[BASE_COM].[Data de envio (Índice de Mês)].[All]" allUniqueName="[BASE_COM].[Data de envio (Índice de Mês)].[All]" dimensionUniqueName="[BASE_COM]" displayFolder="" count="0" memberValueDatatype="20" unbalanced="0" hidden="1"/>
    <cacheHierarchy uniqueName="[BASE_VENDAS].[Data (Índice de Mês)]" caption="Data (Índice de Mês)" attribute="1" defaultMemberUniqueName="[BASE_VENDAS].[Data (Índice de Mês)].[All]" allUniqueName="[BASE_VENDAS].[Data (Índice de Mês)].[All]" dimensionUniqueName="[BASE_VENDAS]" displayFolder="" count="0" memberValueDatatype="20" unbalanced="0" hidden="1"/>
    <cacheHierarchy uniqueName="[Measures].[__XL_Count BASE_COM]" caption="__XL_Count BASE_COM" measure="1" displayFolder="" measureGroup="BASE_COM" count="0" hidden="1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  <cacheHierarchy uniqueName="[Measures].[Contagem de Proposta Enviada ?]" caption="Contagem de Proposta Enviada ?" measure="1" displayFolder="" measureGroup="BASE_CO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Valor Proposta]" caption="Contagem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Semana Envio]" caption="Contagem de Semana Envio" measure="1" displayFolder="" measureGroup="BASE_COM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Data de envio (Mês)]" caption="Contagem de Data de envio (Mês)" measure="1" displayFolder="" measureGroup="BASE_COM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Valor Proposta]" caption="Soma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]" caption="Soma de Valor" measure="1" displayFolder="" measureGroup="BASE_VENDA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BASE_COM" uniqueName="[BASE_COM]" caption="BASE_COM"/>
    <dimension name="BASE_VENDAS" uniqueName="[BASE_VENDAS]" caption="BASE_VENDAS"/>
    <dimension measure="1" name="Measures" uniqueName="[Measures]" caption="Measures"/>
  </dimensions>
  <measureGroups count="2">
    <measureGroup name="BASE_COM" caption="BASE_COM"/>
    <measureGroup name="BASE_VENDAS" caption="BASE_VENDA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" refreshedDate="46167.788860416666" backgroundQuery="1" createdVersion="8" refreshedVersion="8" minRefreshableVersion="3" recordCount="0" supportSubquery="1" supportAdvancedDrill="1" xr:uid="{CFCB9ED0-7C0B-4370-8161-2F580B523A1D}">
  <cacheSource type="external" connectionId="1"/>
  <cacheFields count="9">
    <cacheField name="[BASE_COM].[Data (Trimestre)].[Data (Trimestre)]" caption="Data (Trimestre)" numFmtId="0" hierarchy="17" level="1">
      <sharedItems containsSemiMixedTypes="0" containsNonDate="0" containsString="0"/>
    </cacheField>
    <cacheField name="[Measures].[Contagem de Proposta Enviada ?]" caption="Contagem de Proposta Enviada ?" numFmtId="0" hierarchy="38" level="32767"/>
    <cacheField name="[BASE_COM].[Data de envio (Mês)].[Data de envio (Mês)]" caption="Data de envio (Mês)" numFmtId="0" hierarchy="19" level="1">
      <sharedItems count="5">
        <s v="jan"/>
        <s v="fev"/>
        <s v="mar"/>
        <s v="abr"/>
        <s v="mai"/>
      </sharedItems>
    </cacheField>
    <cacheField name="[BASE_VENDAS].[Data (Mês)].[Data (Mês)]" caption="Data (Mês)" numFmtId="0" hierarchy="29" level="1">
      <sharedItems containsSemiMixedTypes="0" containsNonDate="0" containsString="0"/>
    </cacheField>
    <cacheField name="[BASE_VENDAS].[ICP].[ICP]" caption="ICP" numFmtId="0" hierarchy="26" level="1">
      <sharedItems containsSemiMixedTypes="0" containsNonDate="0" containsString="0"/>
    </cacheField>
    <cacheField name="[BASE_COM].[Data (Mês)].[Data (Mês)]" caption="Data (Mês)" numFmtId="0" hierarchy="18" level="1">
      <sharedItems containsSemiMixedTypes="0" containsNonDate="0" containsString="0"/>
    </cacheField>
    <cacheField name="[BASE_COM].[Classificação].[Classificação]" caption="Classificação" numFmtId="0" hierarchy="6" level="1">
      <sharedItems containsSemiMixedTypes="0" containsNonDate="0" containsString="0"/>
    </cacheField>
    <cacheField name="[BASE_COM].[TIPO].[TIPO]" caption="TIPO" numFmtId="0" hierarchy="11" level="1">
      <sharedItems containsSemiMixedTypes="0" containsNonDate="0" containsString="0"/>
    </cacheField>
    <cacheField name="[BASE_COM].[Proposta Enviada ?].[Proposta Enviada ?]" caption="Proposta Enviada ?" numFmtId="0" hierarchy="9" level="1">
      <sharedItems containsSemiMixedTypes="0" containsNonDate="0" containsString="0"/>
    </cacheField>
  </cacheFields>
  <cacheHierarchies count="44">
    <cacheHierarchy uniqueName="[BASE_COM].[Data]" caption="Data" attribute="1" time="1" defaultMemberUniqueName="[BASE_COM].[Data].[All]" allUniqueName="[BASE_COM].[Data].[All]" dimensionUniqueName="[BASE_COM]" displayFolder="" count="0" memberValueDatatype="7" unbalanced="0"/>
    <cacheHierarchy uniqueName="[BASE_COM].[Nome]" caption="Nome" attribute="1" defaultMemberUniqueName="[BASE_COM].[Nome].[All]" allUniqueName="[BASE_COM].[Nome].[All]" dimensionUniqueName="[BASE_COM]" displayFolder="" count="0" memberValueDatatype="130" unbalanced="0"/>
    <cacheHierarchy uniqueName="[BASE_COM].[Cliente]" caption="Cliente" attribute="1" defaultMemberUniqueName="[BASE_COM].[Cliente].[All]" allUniqueName="[BASE_COM].[Cliente].[All]" dimensionUniqueName="[BASE_COM]" displayFolder="" count="0" memberValueDatatype="130" unbalanced="0"/>
    <cacheHierarchy uniqueName="[BASE_COM].[Unidade]" caption="Unidade" attribute="1" defaultMemberUniqueName="[BASE_COM].[Unidade].[All]" allUniqueName="[BASE_COM].[Unidade].[All]" dimensionUniqueName="[BASE_COM]" displayFolder="" count="0" memberValueDatatype="130" unbalanced="0"/>
    <cacheHierarchy uniqueName="[BASE_COM].[Fonte]" caption="Fonte" attribute="1" defaultMemberUniqueName="[BASE_COM].[Fonte].[All]" allUniqueName="[BASE_COM].[Fonte].[All]" dimensionUniqueName="[BASE_COM]" displayFolder="" count="0" memberValueDatatype="130" unbalanced="0"/>
    <cacheHierarchy uniqueName="[BASE_COM].[Campanha]" caption="Campanha" attribute="1" defaultMemberUniqueName="[BASE_COM].[Campanha].[All]" allUniqueName="[BASE_COM].[Campanha].[All]" dimensionUniqueName="[BASE_COM]" displayFolder="" count="0" memberValueDatatype="130" unbalanced="0"/>
    <cacheHierarchy uniqueName="[BASE_COM].[Classificação]" caption="Classificação" attribute="1" defaultMemberUniqueName="[BASE_COM].[Classificação].[All]" allUniqueName="[BASE_COM].[Classificação].[All]" dimensionUniqueName="[BASE_COM]" displayFolder="" count="2" memberValueDatatype="130" unbalanced="0">
      <fieldsUsage count="2">
        <fieldUsage x="-1"/>
        <fieldUsage x="6"/>
      </fieldsUsage>
    </cacheHierarchy>
    <cacheHierarchy uniqueName="[BASE_COM].[Entrada]" caption="Entrada" attribute="1" defaultMemberUniqueName="[BASE_COM].[Entrada].[All]" allUniqueName="[BASE_COM].[Entrada].[All]" dimensionUniqueName="[BASE_COM]" displayFolder="" count="0" memberValueDatatype="130" unbalanced="0"/>
    <cacheHierarchy uniqueName="[BASE_COM].[Serviço]" caption="Serviço" attribute="1" defaultMemberUniqueName="[BASE_COM].[Serviço].[All]" allUniqueName="[BASE_COM].[Serviço].[All]" dimensionUniqueName="[BASE_COM]" displayFolder="" count="0" memberValueDatatype="130" unbalanced="0"/>
    <cacheHierarchy uniqueName="[BASE_COM].[Proposta Enviada ?]" caption="Proposta Enviada ?" attribute="1" defaultMemberUniqueName="[BASE_COM].[Proposta Enviada ?].[All]" allUniqueName="[BASE_COM].[Proposta Enviada ?].[All]" dimensionUniqueName="[BASE_COM]" displayFolder="" count="2" memberValueDatatype="130" unbalanced="0">
      <fieldsUsage count="2">
        <fieldUsage x="-1"/>
        <fieldUsage x="8"/>
      </fieldsUsage>
    </cacheHierarchy>
    <cacheHierarchy uniqueName="[BASE_COM].[Valor Proposta]" caption="Valor Proposta" attribute="1" defaultMemberUniqueName="[BASE_COM].[Valor Proposta].[All]" allUniqueName="[BASE_COM].[Valor Proposta].[All]" dimensionUniqueName="[BASE_COM]" displayFolder="" count="0" memberValueDatatype="5" unbalanced="0"/>
    <cacheHierarchy uniqueName="[BASE_COM].[TIPO]" caption="TIPO" attribute="1" defaultMemberUniqueName="[BASE_COM].[TIPO].[All]" allUniqueName="[BASE_COM].[TIPO].[All]" dimensionUniqueName="[BASE_COM]" displayFolder="" count="2" memberValueDatatype="130" unbalanced="0">
      <fieldsUsage count="2">
        <fieldUsage x="-1"/>
        <fieldUsage x="7"/>
      </fieldsUsage>
    </cacheHierarchy>
    <cacheHierarchy uniqueName="[BASE_COM].[Data de envio]" caption="Data de envio" attribute="1" time="1" defaultMemberUniqueName="[BASE_COM].[Data de envio].[All]" allUniqueName="[BASE_COM].[Data de envio].[All]" dimensionUniqueName="[BASE_COM]" displayFolder="" count="0" memberValueDatatype="7" unbalanced="0"/>
    <cacheHierarchy uniqueName="[BASE_COM].[Mês]" caption="Mês" attribute="1" defaultMemberUniqueName="[BASE_COM].[Mês].[All]" allUniqueName="[BASE_COM].[Mês].[All]" dimensionUniqueName="[BASE_COM]" displayFolder="" count="0" memberValueDatatype="130" unbalanced="0"/>
    <cacheHierarchy uniqueName="[BASE_COM].[Semana Entrada]" caption="Semana Entrada" attribute="1" defaultMemberUniqueName="[BASE_COM].[Semana Entrada].[All]" allUniqueName="[BASE_COM].[Semana Entrada].[All]" dimensionUniqueName="[BASE_COM]" displayFolder="" count="0" memberValueDatatype="130" unbalanced="0"/>
    <cacheHierarchy uniqueName="[BASE_COM].[Semana Envio]" caption="Semana Envio" attribute="1" defaultMemberUniqueName="[BASE_COM].[Semana Envio].[All]" allUniqueName="[BASE_COM].[Semana Envio].[All]" dimensionUniqueName="[BASE_COM]" displayFolder="" count="0" memberValueDatatype="130" unbalanced="0"/>
    <cacheHierarchy uniqueName="[BASE_COM].[Data (Ano)]" caption="Data (Ano)" attribute="1" defaultMemberUniqueName="[BASE_COM].[Data (Ano)].[All]" allUniqueName="[BASE_COM].[Data (Ano)].[All]" dimensionUniqueName="[BASE_COM]" displayFolder="" count="0" memberValueDatatype="130" unbalanced="0"/>
    <cacheHierarchy uniqueName="[BASE_COM].[Data (Trimestre)]" caption="Data (Trimestre)" attribute="1" defaultMemberUniqueName="[BASE_COM].[Data (Trimestre)].[All]" allUniqueName="[BASE_COM].[Data (Trimestre)].[All]" dimensionUniqueName="[BASE_COM]" displayFolder="" count="2" memberValueDatatype="130" unbalanced="0">
      <fieldsUsage count="2">
        <fieldUsage x="-1"/>
        <fieldUsage x="0"/>
      </fieldsUsage>
    </cacheHierarchy>
    <cacheHierarchy uniqueName="[BASE_COM].[Data (Mês)]" caption="Data (Mês)" attribute="1" defaultMemberUniqueName="[BASE_COM].[Data (Mês)].[All]" allUniqueName="[BASE_COM].[Data (Mês)].[All]" dimensionUniqueName="[BASE_COM]" displayFolder="" count="2" memberValueDatatype="130" unbalanced="0">
      <fieldsUsage count="2">
        <fieldUsage x="-1"/>
        <fieldUsage x="5"/>
      </fieldsUsage>
    </cacheHierarchy>
    <cacheHierarchy uniqueName="[BASE_COM].[Data de envio (Mês)]" caption="Data de envio (Mês)" attribute="1" defaultMemberUniqueName="[BASE_COM].[Data de envio (Mês)].[All]" allUniqueName="[BASE_COM].[Data de envio (Mês)].[All]" dimensionUniqueName="[BASE_COM]" displayFolder="" count="2" memberValueDatatype="130" unbalanced="0">
      <fieldsUsage count="2">
        <fieldUsage x="-1"/>
        <fieldUsage x="2"/>
      </fieldsUsage>
    </cacheHierarchy>
    <cacheHierarchy uniqueName="[BASE_VENDAS].[Data]" caption="Data" attribute="1" time="1" defaultMemberUniqueName="[BASE_VENDAS].[Data].[All]" allUniqueName="[BASE_VENDAS].[Data].[All]" dimensionUniqueName="[BASE_VENDAS]" displayFolder="" count="0" memberValueDatatype="7" unbalanced="0"/>
    <cacheHierarchy uniqueName="[BASE_VENDAS].[Cliente]" caption="Cliente" attribute="1" defaultMemberUniqueName="[BASE_VENDAS].[Cliente].[All]" allUniqueName="[BASE_VENDAS].[Cliente].[All]" dimensionUniqueName="[BASE_VENDAS]" displayFolder="" count="0" memberValueDatatype="130" unbalanced="0"/>
    <cacheHierarchy uniqueName="[BASE_VENDAS].[Unidade]" caption="Unidade" attribute="1" defaultMemberUniqueName="[BASE_VENDAS].[Unidade].[All]" allUniqueName="[BASE_VENDAS].[Unidade].[All]" dimensionUniqueName="[BASE_VENDAS]" displayFolder="" count="0" memberValueDatatype="130" unbalanced="0"/>
    <cacheHierarchy uniqueName="[BASE_VENDAS].[Serviço]" caption="Serviço" attribute="1" defaultMemberUniqueName="[BASE_VENDAS].[Serviço].[All]" allUniqueName="[BASE_VENDAS].[Serviço].[All]" dimensionUniqueName="[BASE_VENDAS]" displayFolder="" count="0" memberValueDatatype="130" unbalanced="0"/>
    <cacheHierarchy uniqueName="[BASE_VENDAS].[Entrada]" caption="Entrada" attribute="1" defaultMemberUniqueName="[BASE_VENDAS].[Entrada].[All]" allUniqueName="[BASE_VENDAS].[Entrada].[All]" dimensionUniqueName="[BASE_VENDAS]" displayFolder="" count="0" memberValueDatatype="130" unbalanced="0"/>
    <cacheHierarchy uniqueName="[BASE_VENDAS].[Reativação?]" caption="Reativação?" attribute="1" defaultMemberUniqueName="[BASE_VENDAS].[Reativação?].[All]" allUniqueName="[BASE_VENDAS].[Reativação?].[All]" dimensionUniqueName="[BASE_VENDAS]" displayFolder="" count="0" memberValueDatatype="130" unbalanced="0"/>
    <cacheHierarchy uniqueName="[BASE_VENDAS].[ICP]" caption="ICP" attribute="1" defaultMemberUniqueName="[BASE_VENDAS].[ICP].[All]" allUniqueName="[BASE_VENDAS].[ICP].[All]" dimensionUniqueName="[BASE_VENDAS]" displayFolder="" count="2" memberValueDatatype="130" unbalanced="0">
      <fieldsUsage count="2">
        <fieldUsage x="-1"/>
        <fieldUsage x="4"/>
      </fieldsUsage>
    </cacheHierarchy>
    <cacheHierarchy uniqueName="[BASE_VENDAS].[Tipo]" caption="Tipo" attribute="1" defaultMemberUniqueName="[BASE_VENDAS].[Tipo].[All]" allUniqueName="[BASE_VENDAS].[Tipo].[All]" dimensionUniqueName="[BASE_VENDAS]" displayFolder="" count="0" memberValueDatatype="130" unbalanced="0"/>
    <cacheHierarchy uniqueName="[BASE_VENDAS].[Valor]" caption="Valor" attribute="1" defaultMemberUniqueName="[BASE_VENDAS].[Valor].[All]" allUniqueName="[BASE_VENDAS].[Valor].[All]" dimensionUniqueName="[BASE_VENDAS]" displayFolder="" count="0" memberValueDatatype="5" unbalanced="0"/>
    <cacheHierarchy uniqueName="[BASE_VENDAS].[Data (Mês)]" caption="Data (Mês)" attribute="1" defaultMemberUniqueName="[BASE_VENDAS].[Data (Mês)].[All]" allUniqueName="[BASE_VENDAS].[Data (Mês)].[All]" dimensionUniqueName="[BASE_VENDAS]" displayFolder="" count="2" memberValueDatatype="130" unbalanced="0">
      <fieldsUsage count="2">
        <fieldUsage x="-1"/>
        <fieldUsage x="3"/>
      </fieldsUsage>
    </cacheHierarchy>
    <cacheHierarchy uniqueName="[BASE_VENDAS].[MÊS VENDA]" caption="MÊS VENDA" attribute="1" defaultMemberUniqueName="[BASE_VENDAS].[MÊS VENDA].[All]" allUniqueName="[BASE_VENDAS].[MÊS VENDA].[All]" dimensionUniqueName="[BASE_VENDAS]" displayFolder="" count="0" memberValueDatatype="130" unbalanced="0"/>
    <cacheHierarchy uniqueName="[BASE_VENDAS].[ORIGEM]" caption="ORIGEM" attribute="1" defaultMemberUniqueName="[BASE_VENDAS].[ORIGEM].[All]" allUniqueName="[BASE_VENDAS].[ORIGEM].[All]" dimensionUniqueName="[BASE_VENDAS]" displayFolder="" count="0" memberValueDatatype="130" unbalanced="0"/>
    <cacheHierarchy uniqueName="[BASE_COM].[Data (Índice de Mês)]" caption="Data (Índice de Mês)" attribute="1" defaultMemberUniqueName="[BASE_COM].[Data (Índice de Mês)].[All]" allUniqueName="[BASE_COM].[Data (Índice de Mês)].[All]" dimensionUniqueName="[BASE_COM]" displayFolder="" count="0" memberValueDatatype="20" unbalanced="0" hidden="1"/>
    <cacheHierarchy uniqueName="[BASE_COM].[Data de envio (Índice de Mês)]" caption="Data de envio (Índice de Mês)" attribute="1" defaultMemberUniqueName="[BASE_COM].[Data de envio (Índice de Mês)].[All]" allUniqueName="[BASE_COM].[Data de envio (Índice de Mês)].[All]" dimensionUniqueName="[BASE_COM]" displayFolder="" count="0" memberValueDatatype="20" unbalanced="0" hidden="1"/>
    <cacheHierarchy uniqueName="[BASE_VENDAS].[Data (Índice de Mês)]" caption="Data (Índice de Mês)" attribute="1" defaultMemberUniqueName="[BASE_VENDAS].[Data (Índice de Mês)].[All]" allUniqueName="[BASE_VENDAS].[Data (Índice de Mês)].[All]" dimensionUniqueName="[BASE_VENDAS]" displayFolder="" count="0" memberValueDatatype="20" unbalanced="0" hidden="1"/>
    <cacheHierarchy uniqueName="[Measures].[__XL_Count BASE_COM]" caption="__XL_Count BASE_COM" measure="1" displayFolder="" measureGroup="BASE_COM" count="0" hidden="1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  <cacheHierarchy uniqueName="[Measures].[Contagem de Proposta Enviada ?]" caption="Contagem de Proposta Enviada ?" measure="1" displayFolder="" measureGroup="BASE_COM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Valor Proposta]" caption="Contagem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Semana Envio]" caption="Contagem de Semana Envio" measure="1" displayFolder="" measureGroup="BASE_COM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Data de envio (Mês)]" caption="Contagem de Data de envio (Mês)" measure="1" displayFolder="" measureGroup="BASE_COM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Valor Proposta]" caption="Soma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]" caption="Soma de Valor" measure="1" displayFolder="" measureGroup="BASE_VENDA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BASE_COM" uniqueName="[BASE_COM]" caption="BASE_COM"/>
    <dimension name="BASE_VENDAS" uniqueName="[BASE_VENDAS]" caption="BASE_VENDAS"/>
    <dimension measure="1" name="Measures" uniqueName="[Measures]" caption="Measures"/>
  </dimensions>
  <measureGroups count="2">
    <measureGroup name="BASE_COM" caption="BASE_COM"/>
    <measureGroup name="BASE_VENDAS" caption="BASE_VENDA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" refreshedDate="46167.788861458335" backgroundQuery="1" createdVersion="8" refreshedVersion="8" minRefreshableVersion="3" recordCount="0" supportSubquery="1" supportAdvancedDrill="1" xr:uid="{99C5EF05-54AE-43A2-BD5F-442CC58C1B70}">
  <cacheSource type="external" connectionId="1"/>
  <cacheFields count="7">
    <cacheField name="[BASE_COM].[Data de envio (Mês)].[Data de envio (Mês)]" caption="Data de envio (Mês)" numFmtId="0" hierarchy="19" level="1">
      <sharedItems count="5">
        <s v="jan"/>
        <s v="fev"/>
        <s v="mar"/>
        <s v="abr"/>
        <s v="mai"/>
      </sharedItems>
    </cacheField>
    <cacheField name="[BASE_VENDAS].[Data (Mês)].[Data (Mês)]" caption="Data (Mês)" numFmtId="0" hierarchy="29" level="1">
      <sharedItems containsSemiMixedTypes="0" containsNonDate="0" containsString="0"/>
    </cacheField>
    <cacheField name="[BASE_VENDAS].[ICP].[ICP]" caption="ICP" numFmtId="0" hierarchy="26" level="1">
      <sharedItems containsSemiMixedTypes="0" containsNonDate="0" containsString="0"/>
    </cacheField>
    <cacheField name="[BASE_COM].[Data (Mês)].[Data (Mês)]" caption="Data (Mês)" numFmtId="0" hierarchy="18" level="1">
      <sharedItems containsSemiMixedTypes="0" containsNonDate="0" containsString="0"/>
    </cacheField>
    <cacheField name="[BASE_COM].[Classificação].[Classificação]" caption="Classificação" numFmtId="0" hierarchy="6" level="1">
      <sharedItems containsSemiMixedTypes="0" containsNonDate="0" containsString="0"/>
    </cacheField>
    <cacheField name="[BASE_COM].[TIPO].[TIPO]" caption="TIPO" numFmtId="0" hierarchy="11" level="1">
      <sharedItems containsSemiMixedTypes="0" containsNonDate="0" containsString="0"/>
    </cacheField>
    <cacheField name="[BASE_COM].[Proposta Enviada ?].[Proposta Enviada ?]" caption="Proposta Enviada ?" numFmtId="0" hierarchy="9" level="1">
      <sharedItems containsSemiMixedTypes="0" containsNonDate="0" containsString="0"/>
    </cacheField>
  </cacheFields>
  <cacheHierarchies count="44">
    <cacheHierarchy uniqueName="[BASE_COM].[Data]" caption="Data" attribute="1" time="1" defaultMemberUniqueName="[BASE_COM].[Data].[All]" allUniqueName="[BASE_COM].[Data].[All]" dimensionUniqueName="[BASE_COM]" displayFolder="" count="0" memberValueDatatype="7" unbalanced="0"/>
    <cacheHierarchy uniqueName="[BASE_COM].[Nome]" caption="Nome" attribute="1" defaultMemberUniqueName="[BASE_COM].[Nome].[All]" allUniqueName="[BASE_COM].[Nome].[All]" dimensionUniqueName="[BASE_COM]" displayFolder="" count="0" memberValueDatatype="130" unbalanced="0"/>
    <cacheHierarchy uniqueName="[BASE_COM].[Cliente]" caption="Cliente" attribute="1" defaultMemberUniqueName="[BASE_COM].[Cliente].[All]" allUniqueName="[BASE_COM].[Cliente].[All]" dimensionUniqueName="[BASE_COM]" displayFolder="" count="0" memberValueDatatype="130" unbalanced="0"/>
    <cacheHierarchy uniqueName="[BASE_COM].[Unidade]" caption="Unidade" attribute="1" defaultMemberUniqueName="[BASE_COM].[Unidade].[All]" allUniqueName="[BASE_COM].[Unidade].[All]" dimensionUniqueName="[BASE_COM]" displayFolder="" count="0" memberValueDatatype="130" unbalanced="0"/>
    <cacheHierarchy uniqueName="[BASE_COM].[Fonte]" caption="Fonte" attribute="1" defaultMemberUniqueName="[BASE_COM].[Fonte].[All]" allUniqueName="[BASE_COM].[Fonte].[All]" dimensionUniqueName="[BASE_COM]" displayFolder="" count="0" memberValueDatatype="130" unbalanced="0"/>
    <cacheHierarchy uniqueName="[BASE_COM].[Campanha]" caption="Campanha" attribute="1" defaultMemberUniqueName="[BASE_COM].[Campanha].[All]" allUniqueName="[BASE_COM].[Campanha].[All]" dimensionUniqueName="[BASE_COM]" displayFolder="" count="0" memberValueDatatype="130" unbalanced="0"/>
    <cacheHierarchy uniqueName="[BASE_COM].[Classificação]" caption="Classificação" attribute="1" defaultMemberUniqueName="[BASE_COM].[Classificação].[All]" allUniqueName="[BASE_COM].[Classificação].[All]" dimensionUniqueName="[BASE_COM]" displayFolder="" count="2" memberValueDatatype="130" unbalanced="0">
      <fieldsUsage count="2">
        <fieldUsage x="-1"/>
        <fieldUsage x="4"/>
      </fieldsUsage>
    </cacheHierarchy>
    <cacheHierarchy uniqueName="[BASE_COM].[Entrada]" caption="Entrada" attribute="1" defaultMemberUniqueName="[BASE_COM].[Entrada].[All]" allUniqueName="[BASE_COM].[Entrada].[All]" dimensionUniqueName="[BASE_COM]" displayFolder="" count="0" memberValueDatatype="130" unbalanced="0"/>
    <cacheHierarchy uniqueName="[BASE_COM].[Serviço]" caption="Serviço" attribute="1" defaultMemberUniqueName="[BASE_COM].[Serviço].[All]" allUniqueName="[BASE_COM].[Serviço].[All]" dimensionUniqueName="[BASE_COM]" displayFolder="" count="0" memberValueDatatype="130" unbalanced="0"/>
    <cacheHierarchy uniqueName="[BASE_COM].[Proposta Enviada ?]" caption="Proposta Enviada ?" attribute="1" defaultMemberUniqueName="[BASE_COM].[Proposta Enviada ?].[All]" allUniqueName="[BASE_COM].[Proposta Enviada ?].[All]" dimensionUniqueName="[BASE_COM]" displayFolder="" count="2" memberValueDatatype="130" unbalanced="0">
      <fieldsUsage count="2">
        <fieldUsage x="-1"/>
        <fieldUsage x="6"/>
      </fieldsUsage>
    </cacheHierarchy>
    <cacheHierarchy uniqueName="[BASE_COM].[Valor Proposta]" caption="Valor Proposta" attribute="1" defaultMemberUniqueName="[BASE_COM].[Valor Proposta].[All]" allUniqueName="[BASE_COM].[Valor Proposta].[All]" dimensionUniqueName="[BASE_COM]" displayFolder="" count="0" memberValueDatatype="5" unbalanced="0"/>
    <cacheHierarchy uniqueName="[BASE_COM].[TIPO]" caption="TIPO" attribute="1" defaultMemberUniqueName="[BASE_COM].[TIPO].[All]" allUniqueName="[BASE_COM].[TIPO].[All]" dimensionUniqueName="[BASE_COM]" displayFolder="" count="2" memberValueDatatype="130" unbalanced="0">
      <fieldsUsage count="2">
        <fieldUsage x="-1"/>
        <fieldUsage x="5"/>
      </fieldsUsage>
    </cacheHierarchy>
    <cacheHierarchy uniqueName="[BASE_COM].[Data de envio]" caption="Data de envio" attribute="1" time="1" defaultMemberUniqueName="[BASE_COM].[Data de envio].[All]" allUniqueName="[BASE_COM].[Data de envio].[All]" dimensionUniqueName="[BASE_COM]" displayFolder="" count="0" memberValueDatatype="7" unbalanced="0"/>
    <cacheHierarchy uniqueName="[BASE_COM].[Mês]" caption="Mês" attribute="1" defaultMemberUniqueName="[BASE_COM].[Mês].[All]" allUniqueName="[BASE_COM].[Mês].[All]" dimensionUniqueName="[BASE_COM]" displayFolder="" count="0" memberValueDatatype="130" unbalanced="0"/>
    <cacheHierarchy uniqueName="[BASE_COM].[Semana Entrada]" caption="Semana Entrada" attribute="1" defaultMemberUniqueName="[BASE_COM].[Semana Entrada].[All]" allUniqueName="[BASE_COM].[Semana Entrada].[All]" dimensionUniqueName="[BASE_COM]" displayFolder="" count="0" memberValueDatatype="130" unbalanced="0"/>
    <cacheHierarchy uniqueName="[BASE_COM].[Semana Envio]" caption="Semana Envio" attribute="1" defaultMemberUniqueName="[BASE_COM].[Semana Envio].[All]" allUniqueName="[BASE_COM].[Semana Envio].[All]" dimensionUniqueName="[BASE_COM]" displayFolder="" count="0" memberValueDatatype="130" unbalanced="0"/>
    <cacheHierarchy uniqueName="[BASE_COM].[Data (Ano)]" caption="Data (Ano)" attribute="1" defaultMemberUniqueName="[BASE_COM].[Data (Ano)].[All]" allUniqueName="[BASE_COM].[Data (Ano)].[All]" dimensionUniqueName="[BASE_COM]" displayFolder="" count="0" memberValueDatatype="130" unbalanced="0"/>
    <cacheHierarchy uniqueName="[BASE_COM].[Data (Trimestre)]" caption="Data (Trimestre)" attribute="1" defaultMemberUniqueName="[BASE_COM].[Data (Trimestre)].[All]" allUniqueName="[BASE_COM].[Data (Trimestre)].[All]" dimensionUniqueName="[BASE_COM]" displayFolder="" count="0" memberValueDatatype="130" unbalanced="0"/>
    <cacheHierarchy uniqueName="[BASE_COM].[Data (Mês)]" caption="Data (Mês)" attribute="1" defaultMemberUniqueName="[BASE_COM].[Data (Mês)].[All]" allUniqueName="[BASE_COM].[Data (Mês)].[All]" dimensionUniqueName="[BASE_COM]" displayFolder="" count="2" memberValueDatatype="130" unbalanced="0">
      <fieldsUsage count="2">
        <fieldUsage x="-1"/>
        <fieldUsage x="3"/>
      </fieldsUsage>
    </cacheHierarchy>
    <cacheHierarchy uniqueName="[BASE_COM].[Data de envio (Mês)]" caption="Data de envio (Mês)" attribute="1" defaultMemberUniqueName="[BASE_COM].[Data de envio (Mês)].[All]" allUniqueName="[BASE_COM].[Data de envio (Mês)].[All]" dimensionUniqueName="[BASE_COM]" displayFolder="" count="2" memberValueDatatype="130" unbalanced="0">
      <fieldsUsage count="2">
        <fieldUsage x="-1"/>
        <fieldUsage x="0"/>
      </fieldsUsage>
    </cacheHierarchy>
    <cacheHierarchy uniqueName="[BASE_VENDAS].[Data]" caption="Data" attribute="1" time="1" defaultMemberUniqueName="[BASE_VENDAS].[Data].[All]" allUniqueName="[BASE_VENDAS].[Data].[All]" dimensionUniqueName="[BASE_VENDAS]" displayFolder="" count="0" memberValueDatatype="7" unbalanced="0"/>
    <cacheHierarchy uniqueName="[BASE_VENDAS].[Cliente]" caption="Cliente" attribute="1" defaultMemberUniqueName="[BASE_VENDAS].[Cliente].[All]" allUniqueName="[BASE_VENDAS].[Cliente].[All]" dimensionUniqueName="[BASE_VENDAS]" displayFolder="" count="0" memberValueDatatype="130" unbalanced="0"/>
    <cacheHierarchy uniqueName="[BASE_VENDAS].[Unidade]" caption="Unidade" attribute="1" defaultMemberUniqueName="[BASE_VENDAS].[Unidade].[All]" allUniqueName="[BASE_VENDAS].[Unidade].[All]" dimensionUniqueName="[BASE_VENDAS]" displayFolder="" count="0" memberValueDatatype="130" unbalanced="0"/>
    <cacheHierarchy uniqueName="[BASE_VENDAS].[Serviço]" caption="Serviço" attribute="1" defaultMemberUniqueName="[BASE_VENDAS].[Serviço].[All]" allUniqueName="[BASE_VENDAS].[Serviço].[All]" dimensionUniqueName="[BASE_VENDAS]" displayFolder="" count="0" memberValueDatatype="130" unbalanced="0"/>
    <cacheHierarchy uniqueName="[BASE_VENDAS].[Entrada]" caption="Entrada" attribute="1" defaultMemberUniqueName="[BASE_VENDAS].[Entrada].[All]" allUniqueName="[BASE_VENDAS].[Entrada].[All]" dimensionUniqueName="[BASE_VENDAS]" displayFolder="" count="0" memberValueDatatype="130" unbalanced="0"/>
    <cacheHierarchy uniqueName="[BASE_VENDAS].[Reativação?]" caption="Reativação?" attribute="1" defaultMemberUniqueName="[BASE_VENDAS].[Reativação?].[All]" allUniqueName="[BASE_VENDAS].[Reativação?].[All]" dimensionUniqueName="[BASE_VENDAS]" displayFolder="" count="0" memberValueDatatype="130" unbalanced="0"/>
    <cacheHierarchy uniqueName="[BASE_VENDAS].[ICP]" caption="ICP" attribute="1" defaultMemberUniqueName="[BASE_VENDAS].[ICP].[All]" allUniqueName="[BASE_VENDAS].[ICP].[All]" dimensionUniqueName="[BASE_VENDAS]" displayFolder="" count="2" memberValueDatatype="130" unbalanced="0">
      <fieldsUsage count="2">
        <fieldUsage x="-1"/>
        <fieldUsage x="2"/>
      </fieldsUsage>
    </cacheHierarchy>
    <cacheHierarchy uniqueName="[BASE_VENDAS].[Tipo]" caption="Tipo" attribute="1" defaultMemberUniqueName="[BASE_VENDAS].[Tipo].[All]" allUniqueName="[BASE_VENDAS].[Tipo].[All]" dimensionUniqueName="[BASE_VENDAS]" displayFolder="" count="0" memberValueDatatype="130" unbalanced="0"/>
    <cacheHierarchy uniqueName="[BASE_VENDAS].[Valor]" caption="Valor" attribute="1" defaultMemberUniqueName="[BASE_VENDAS].[Valor].[All]" allUniqueName="[BASE_VENDAS].[Valor].[All]" dimensionUniqueName="[BASE_VENDAS]" displayFolder="" count="0" memberValueDatatype="5" unbalanced="0"/>
    <cacheHierarchy uniqueName="[BASE_VENDAS].[Data (Mês)]" caption="Data (Mês)" attribute="1" defaultMemberUniqueName="[BASE_VENDAS].[Data (Mês)].[All]" allUniqueName="[BASE_VENDAS].[Data (Mês)].[All]" dimensionUniqueName="[BASE_VENDAS]" displayFolder="" count="2" memberValueDatatype="130" unbalanced="0">
      <fieldsUsage count="2">
        <fieldUsage x="-1"/>
        <fieldUsage x="1"/>
      </fieldsUsage>
    </cacheHierarchy>
    <cacheHierarchy uniqueName="[BASE_VENDAS].[MÊS VENDA]" caption="MÊS VENDA" attribute="1" defaultMemberUniqueName="[BASE_VENDAS].[MÊS VENDA].[All]" allUniqueName="[BASE_VENDAS].[MÊS VENDA].[All]" dimensionUniqueName="[BASE_VENDAS]" displayFolder="" count="0" memberValueDatatype="130" unbalanced="0"/>
    <cacheHierarchy uniqueName="[BASE_VENDAS].[ORIGEM]" caption="ORIGEM" attribute="1" defaultMemberUniqueName="[BASE_VENDAS].[ORIGEM].[All]" allUniqueName="[BASE_VENDAS].[ORIGEM].[All]" dimensionUniqueName="[BASE_VENDAS]" displayFolder="" count="0" memberValueDatatype="130" unbalanced="0"/>
    <cacheHierarchy uniqueName="[BASE_COM].[Data (Índice de Mês)]" caption="Data (Índice de Mês)" attribute="1" defaultMemberUniqueName="[BASE_COM].[Data (Índice de Mês)].[All]" allUniqueName="[BASE_COM].[Data (Índice de Mês)].[All]" dimensionUniqueName="[BASE_COM]" displayFolder="" count="0" memberValueDatatype="20" unbalanced="0" hidden="1"/>
    <cacheHierarchy uniqueName="[BASE_COM].[Data de envio (Índice de Mês)]" caption="Data de envio (Índice de Mês)" attribute="1" defaultMemberUniqueName="[BASE_COM].[Data de envio (Índice de Mês)].[All]" allUniqueName="[BASE_COM].[Data de envio (Índice de Mês)].[All]" dimensionUniqueName="[BASE_COM]" displayFolder="" count="0" memberValueDatatype="20" unbalanced="0" hidden="1"/>
    <cacheHierarchy uniqueName="[BASE_VENDAS].[Data (Índice de Mês)]" caption="Data (Índice de Mês)" attribute="1" defaultMemberUniqueName="[BASE_VENDAS].[Data (Índice de Mês)].[All]" allUniqueName="[BASE_VENDAS].[Data (Índice de Mês)].[All]" dimensionUniqueName="[BASE_VENDAS]" displayFolder="" count="0" memberValueDatatype="20" unbalanced="0" hidden="1"/>
    <cacheHierarchy uniqueName="[Measures].[__XL_Count BASE_COM]" caption="__XL_Count BASE_COM" measure="1" displayFolder="" measureGroup="BASE_COM" count="0" hidden="1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  <cacheHierarchy uniqueName="[Measures].[Contagem de Proposta Enviada ?]" caption="Contagem de Proposta Enviada ?" measure="1" displayFolder="" measureGroup="BASE_CO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Valor Proposta]" caption="Contagem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Semana Envio]" caption="Contagem de Semana Envio" measure="1" displayFolder="" measureGroup="BASE_COM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Data de envio (Mês)]" caption="Contagem de Data de envio (Mês)" measure="1" displayFolder="" measureGroup="BASE_COM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Valor Proposta]" caption="Soma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]" caption="Soma de Valor" measure="1" displayFolder="" measureGroup="BASE_VENDA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BASE_COM" uniqueName="[BASE_COM]" caption="BASE_COM"/>
    <dimension name="BASE_VENDAS" uniqueName="[BASE_VENDAS]" caption="BASE_VENDAS"/>
    <dimension measure="1" name="Measures" uniqueName="[Measures]" caption="Measures"/>
  </dimensions>
  <measureGroups count="2">
    <measureGroup name="BASE_COM" caption="BASE_COM"/>
    <measureGroup name="BASE_VENDAS" caption="BASE_VENDA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" refreshedDate="46167.788862615744" backgroundQuery="1" createdVersion="8" refreshedVersion="8" minRefreshableVersion="3" recordCount="0" supportSubquery="1" supportAdvancedDrill="1" xr:uid="{31E59072-F33D-455B-BBE1-D4A701306B0C}">
  <cacheSource type="external" connectionId="1"/>
  <cacheFields count="9">
    <cacheField name="[BASE_VENDAS].[Data].[Data]" caption="Data" numFmtId="0" hierarchy="20" level="1">
      <sharedItems containsSemiMixedTypes="0" containsNonDate="0" containsString="0"/>
    </cacheField>
    <cacheField name="[BASE_VENDAS].[Data (Mês)].[Data (Mês)]" caption="Data (Mês)" numFmtId="0" hierarchy="29" level="1">
      <sharedItems count="6">
        <s v="jan"/>
        <s v="fev"/>
        <s v="mar"/>
        <s v="abr"/>
        <s v="mai"/>
        <s v="dez"/>
      </sharedItems>
    </cacheField>
    <cacheField name="[Measures].[Soma de Valor]" caption="Soma de Valor" numFmtId="0" hierarchy="43" level="32767"/>
    <cacheField name="[BASE_VENDAS].[ICP].[ICP]" caption="ICP" numFmtId="0" hierarchy="26" level="1">
      <sharedItems containsSemiMixedTypes="0" containsNonDate="0" containsString="0"/>
    </cacheField>
    <cacheField name="[BASE_COM].[Data (Mês)].[Data (Mês)]" caption="Data (Mês)" numFmtId="0" hierarchy="18" level="1">
      <sharedItems containsSemiMixedTypes="0" containsNonDate="0" containsString="0"/>
    </cacheField>
    <cacheField name="[BASE_COM].[Classificação].[Classificação]" caption="Classificação" numFmtId="0" hierarchy="6" level="1">
      <sharedItems containsSemiMixedTypes="0" containsNonDate="0" containsString="0"/>
    </cacheField>
    <cacheField name="[BASE_COM].[TIPO].[TIPO]" caption="TIPO" numFmtId="0" hierarchy="11" level="1">
      <sharedItems containsSemiMixedTypes="0" containsNonDate="0" containsString="0"/>
    </cacheField>
    <cacheField name="[BASE_COM].[Proposta Enviada ?].[Proposta Enviada ?]" caption="Proposta Enviada ?" numFmtId="0" hierarchy="9" level="1">
      <sharedItems containsSemiMixedTypes="0" containsNonDate="0" containsString="0"/>
    </cacheField>
    <cacheField name="[BASE_COM].[Data de envio (Mês)].[Data de envio (Mês)]" caption="Data de envio (Mês)" numFmtId="0" hierarchy="19" level="1">
      <sharedItems containsSemiMixedTypes="0" containsNonDate="0" containsString="0"/>
    </cacheField>
  </cacheFields>
  <cacheHierarchies count="44">
    <cacheHierarchy uniqueName="[BASE_COM].[Data]" caption="Data" attribute="1" time="1" defaultMemberUniqueName="[BASE_COM].[Data].[All]" allUniqueName="[BASE_COM].[Data].[All]" dimensionUniqueName="[BASE_COM]" displayFolder="" count="0" memberValueDatatype="7" unbalanced="0"/>
    <cacheHierarchy uniqueName="[BASE_COM].[Nome]" caption="Nome" attribute="1" defaultMemberUniqueName="[BASE_COM].[Nome].[All]" allUniqueName="[BASE_COM].[Nome].[All]" dimensionUniqueName="[BASE_COM]" displayFolder="" count="0" memberValueDatatype="130" unbalanced="0"/>
    <cacheHierarchy uniqueName="[BASE_COM].[Cliente]" caption="Cliente" attribute="1" defaultMemberUniqueName="[BASE_COM].[Cliente].[All]" allUniqueName="[BASE_COM].[Cliente].[All]" dimensionUniqueName="[BASE_COM]" displayFolder="" count="0" memberValueDatatype="130" unbalanced="0"/>
    <cacheHierarchy uniqueName="[BASE_COM].[Unidade]" caption="Unidade" attribute="1" defaultMemberUniqueName="[BASE_COM].[Unidade].[All]" allUniqueName="[BASE_COM].[Unidade].[All]" dimensionUniqueName="[BASE_COM]" displayFolder="" count="0" memberValueDatatype="130" unbalanced="0"/>
    <cacheHierarchy uniqueName="[BASE_COM].[Fonte]" caption="Fonte" attribute="1" defaultMemberUniqueName="[BASE_COM].[Fonte].[All]" allUniqueName="[BASE_COM].[Fonte].[All]" dimensionUniqueName="[BASE_COM]" displayFolder="" count="0" memberValueDatatype="130" unbalanced="0"/>
    <cacheHierarchy uniqueName="[BASE_COM].[Campanha]" caption="Campanha" attribute="1" defaultMemberUniqueName="[BASE_COM].[Campanha].[All]" allUniqueName="[BASE_COM].[Campanha].[All]" dimensionUniqueName="[BASE_COM]" displayFolder="" count="0" memberValueDatatype="130" unbalanced="0"/>
    <cacheHierarchy uniqueName="[BASE_COM].[Classificação]" caption="Classificação" attribute="1" defaultMemberUniqueName="[BASE_COM].[Classificação].[All]" allUniqueName="[BASE_COM].[Classificação].[All]" dimensionUniqueName="[BASE_COM]" displayFolder="" count="2" memberValueDatatype="130" unbalanced="0">
      <fieldsUsage count="2">
        <fieldUsage x="-1"/>
        <fieldUsage x="5"/>
      </fieldsUsage>
    </cacheHierarchy>
    <cacheHierarchy uniqueName="[BASE_COM].[Entrada]" caption="Entrada" attribute="1" defaultMemberUniqueName="[BASE_COM].[Entrada].[All]" allUniqueName="[BASE_COM].[Entrada].[All]" dimensionUniqueName="[BASE_COM]" displayFolder="" count="0" memberValueDatatype="130" unbalanced="0"/>
    <cacheHierarchy uniqueName="[BASE_COM].[Serviço]" caption="Serviço" attribute="1" defaultMemberUniqueName="[BASE_COM].[Serviço].[All]" allUniqueName="[BASE_COM].[Serviço].[All]" dimensionUniqueName="[BASE_COM]" displayFolder="" count="0" memberValueDatatype="130" unbalanced="0"/>
    <cacheHierarchy uniqueName="[BASE_COM].[Proposta Enviada ?]" caption="Proposta Enviada ?" attribute="1" defaultMemberUniqueName="[BASE_COM].[Proposta Enviada ?].[All]" allUniqueName="[BASE_COM].[Proposta Enviada ?].[All]" dimensionUniqueName="[BASE_COM]" displayFolder="" count="2" memberValueDatatype="130" unbalanced="0">
      <fieldsUsage count="2">
        <fieldUsage x="-1"/>
        <fieldUsage x="7"/>
      </fieldsUsage>
    </cacheHierarchy>
    <cacheHierarchy uniqueName="[BASE_COM].[Valor Proposta]" caption="Valor Proposta" attribute="1" defaultMemberUniqueName="[BASE_COM].[Valor Proposta].[All]" allUniqueName="[BASE_COM].[Valor Proposta].[All]" dimensionUniqueName="[BASE_COM]" displayFolder="" count="0" memberValueDatatype="5" unbalanced="0"/>
    <cacheHierarchy uniqueName="[BASE_COM].[TIPO]" caption="TIPO" attribute="1" defaultMemberUniqueName="[BASE_COM].[TIPO].[All]" allUniqueName="[BASE_COM].[TIPO].[All]" dimensionUniqueName="[BASE_COM]" displayFolder="" count="2" memberValueDatatype="130" unbalanced="0">
      <fieldsUsage count="2">
        <fieldUsage x="-1"/>
        <fieldUsage x="6"/>
      </fieldsUsage>
    </cacheHierarchy>
    <cacheHierarchy uniqueName="[BASE_COM].[Data de envio]" caption="Data de envio" attribute="1" time="1" defaultMemberUniqueName="[BASE_COM].[Data de envio].[All]" allUniqueName="[BASE_COM].[Data de envio].[All]" dimensionUniqueName="[BASE_COM]" displayFolder="" count="0" memberValueDatatype="7" unbalanced="0"/>
    <cacheHierarchy uniqueName="[BASE_COM].[Mês]" caption="Mês" attribute="1" defaultMemberUniqueName="[BASE_COM].[Mês].[All]" allUniqueName="[BASE_COM].[Mês].[All]" dimensionUniqueName="[BASE_COM]" displayFolder="" count="0" memberValueDatatype="130" unbalanced="0"/>
    <cacheHierarchy uniqueName="[BASE_COM].[Semana Entrada]" caption="Semana Entrada" attribute="1" defaultMemberUniqueName="[BASE_COM].[Semana Entrada].[All]" allUniqueName="[BASE_COM].[Semana Entrada].[All]" dimensionUniqueName="[BASE_COM]" displayFolder="" count="0" memberValueDatatype="130" unbalanced="0"/>
    <cacheHierarchy uniqueName="[BASE_COM].[Semana Envio]" caption="Semana Envio" attribute="1" defaultMemberUniqueName="[BASE_COM].[Semana Envio].[All]" allUniqueName="[BASE_COM].[Semana Envio].[All]" dimensionUniqueName="[BASE_COM]" displayFolder="" count="0" memberValueDatatype="130" unbalanced="0"/>
    <cacheHierarchy uniqueName="[BASE_COM].[Data (Ano)]" caption="Data (Ano)" attribute="1" defaultMemberUniqueName="[BASE_COM].[Data (Ano)].[All]" allUniqueName="[BASE_COM].[Data (Ano)].[All]" dimensionUniqueName="[BASE_COM]" displayFolder="" count="0" memberValueDatatype="130" unbalanced="0"/>
    <cacheHierarchy uniqueName="[BASE_COM].[Data (Trimestre)]" caption="Data (Trimestre)" attribute="1" defaultMemberUniqueName="[BASE_COM].[Data (Trimestre)].[All]" allUniqueName="[BASE_COM].[Data (Trimestre)].[All]" dimensionUniqueName="[BASE_COM]" displayFolder="" count="0" memberValueDatatype="130" unbalanced="0"/>
    <cacheHierarchy uniqueName="[BASE_COM].[Data (Mês)]" caption="Data (Mês)" attribute="1" defaultMemberUniqueName="[BASE_COM].[Data (Mês)].[All]" allUniqueName="[BASE_COM].[Data (Mês)].[All]" dimensionUniqueName="[BASE_COM]" displayFolder="" count="2" memberValueDatatype="130" unbalanced="0">
      <fieldsUsage count="2">
        <fieldUsage x="-1"/>
        <fieldUsage x="4"/>
      </fieldsUsage>
    </cacheHierarchy>
    <cacheHierarchy uniqueName="[BASE_COM].[Data de envio (Mês)]" caption="Data de envio (Mês)" attribute="1" defaultMemberUniqueName="[BASE_COM].[Data de envio (Mês)].[All]" allUniqueName="[BASE_COM].[Data de envio (Mês)].[All]" dimensionUniqueName="[BASE_COM]" displayFolder="" count="2" memberValueDatatype="130" unbalanced="0">
      <fieldsUsage count="2">
        <fieldUsage x="-1"/>
        <fieldUsage x="8"/>
      </fieldsUsage>
    </cacheHierarchy>
    <cacheHierarchy uniqueName="[BASE_VENDAS].[Data]" caption="Data" attribute="1" time="1" defaultMemberUniqueName="[BASE_VENDAS].[Data].[All]" allUniqueName="[BASE_VENDAS].[Data].[All]" dimensionUniqueName="[BASE_VENDAS]" displayFolder="" count="2" memberValueDatatype="7" unbalanced="0">
      <fieldsUsage count="2">
        <fieldUsage x="-1"/>
        <fieldUsage x="0"/>
      </fieldsUsage>
    </cacheHierarchy>
    <cacheHierarchy uniqueName="[BASE_VENDAS].[Cliente]" caption="Cliente" attribute="1" defaultMemberUniqueName="[BASE_VENDAS].[Cliente].[All]" allUniqueName="[BASE_VENDAS].[Cliente].[All]" dimensionUniqueName="[BASE_VENDAS]" displayFolder="" count="0" memberValueDatatype="130" unbalanced="0"/>
    <cacheHierarchy uniqueName="[BASE_VENDAS].[Unidade]" caption="Unidade" attribute="1" defaultMemberUniqueName="[BASE_VENDAS].[Unidade].[All]" allUniqueName="[BASE_VENDAS].[Unidade].[All]" dimensionUniqueName="[BASE_VENDAS]" displayFolder="" count="0" memberValueDatatype="130" unbalanced="0"/>
    <cacheHierarchy uniqueName="[BASE_VENDAS].[Serviço]" caption="Serviço" attribute="1" defaultMemberUniqueName="[BASE_VENDAS].[Serviço].[All]" allUniqueName="[BASE_VENDAS].[Serviço].[All]" dimensionUniqueName="[BASE_VENDAS]" displayFolder="" count="0" memberValueDatatype="130" unbalanced="0"/>
    <cacheHierarchy uniqueName="[BASE_VENDAS].[Entrada]" caption="Entrada" attribute="1" defaultMemberUniqueName="[BASE_VENDAS].[Entrada].[All]" allUniqueName="[BASE_VENDAS].[Entrada].[All]" dimensionUniqueName="[BASE_VENDAS]" displayFolder="" count="0" memberValueDatatype="130" unbalanced="0"/>
    <cacheHierarchy uniqueName="[BASE_VENDAS].[Reativação?]" caption="Reativação?" attribute="1" defaultMemberUniqueName="[BASE_VENDAS].[Reativação?].[All]" allUniqueName="[BASE_VENDAS].[Reativação?].[All]" dimensionUniqueName="[BASE_VENDAS]" displayFolder="" count="0" memberValueDatatype="130" unbalanced="0"/>
    <cacheHierarchy uniqueName="[BASE_VENDAS].[ICP]" caption="ICP" attribute="1" defaultMemberUniqueName="[BASE_VENDAS].[ICP].[All]" allUniqueName="[BASE_VENDAS].[ICP].[All]" dimensionUniqueName="[BASE_VENDAS]" displayFolder="" count="2" memberValueDatatype="130" unbalanced="0">
      <fieldsUsage count="2">
        <fieldUsage x="-1"/>
        <fieldUsage x="3"/>
      </fieldsUsage>
    </cacheHierarchy>
    <cacheHierarchy uniqueName="[BASE_VENDAS].[Tipo]" caption="Tipo" attribute="1" defaultMemberUniqueName="[BASE_VENDAS].[Tipo].[All]" allUniqueName="[BASE_VENDAS].[Tipo].[All]" dimensionUniqueName="[BASE_VENDAS]" displayFolder="" count="0" memberValueDatatype="130" unbalanced="0"/>
    <cacheHierarchy uniqueName="[BASE_VENDAS].[Valor]" caption="Valor" attribute="1" defaultMemberUniqueName="[BASE_VENDAS].[Valor].[All]" allUniqueName="[BASE_VENDAS].[Valor].[All]" dimensionUniqueName="[BASE_VENDAS]" displayFolder="" count="0" memberValueDatatype="5" unbalanced="0"/>
    <cacheHierarchy uniqueName="[BASE_VENDAS].[Data (Mês)]" caption="Data (Mês)" attribute="1" defaultMemberUniqueName="[BASE_VENDAS].[Data (Mês)].[All]" allUniqueName="[BASE_VENDAS].[Data (Mês)].[All]" dimensionUniqueName="[BASE_VENDAS]" displayFolder="" count="2" memberValueDatatype="130" unbalanced="0">
      <fieldsUsage count="2">
        <fieldUsage x="-1"/>
        <fieldUsage x="1"/>
      </fieldsUsage>
    </cacheHierarchy>
    <cacheHierarchy uniqueName="[BASE_VENDAS].[MÊS VENDA]" caption="MÊS VENDA" attribute="1" defaultMemberUniqueName="[BASE_VENDAS].[MÊS VENDA].[All]" allUniqueName="[BASE_VENDAS].[MÊS VENDA].[All]" dimensionUniqueName="[BASE_VENDAS]" displayFolder="" count="0" memberValueDatatype="130" unbalanced="0"/>
    <cacheHierarchy uniqueName="[BASE_VENDAS].[ORIGEM]" caption="ORIGEM" attribute="1" defaultMemberUniqueName="[BASE_VENDAS].[ORIGEM].[All]" allUniqueName="[BASE_VENDAS].[ORIGEM].[All]" dimensionUniqueName="[BASE_VENDAS]" displayFolder="" count="0" memberValueDatatype="130" unbalanced="0"/>
    <cacheHierarchy uniqueName="[BASE_COM].[Data (Índice de Mês)]" caption="Data (Índice de Mês)" attribute="1" defaultMemberUniqueName="[BASE_COM].[Data (Índice de Mês)].[All]" allUniqueName="[BASE_COM].[Data (Índice de Mês)].[All]" dimensionUniqueName="[BASE_COM]" displayFolder="" count="0" memberValueDatatype="20" unbalanced="0" hidden="1"/>
    <cacheHierarchy uniqueName="[BASE_COM].[Data de envio (Índice de Mês)]" caption="Data de envio (Índice de Mês)" attribute="1" defaultMemberUniqueName="[BASE_COM].[Data de envio (Índice de Mês)].[All]" allUniqueName="[BASE_COM].[Data de envio (Índice de Mês)].[All]" dimensionUniqueName="[BASE_COM]" displayFolder="" count="0" memberValueDatatype="20" unbalanced="0" hidden="1"/>
    <cacheHierarchy uniqueName="[BASE_VENDAS].[Data (Índice de Mês)]" caption="Data (Índice de Mês)" attribute="1" defaultMemberUniqueName="[BASE_VENDAS].[Data (Índice de Mês)].[All]" allUniqueName="[BASE_VENDAS].[Data (Índice de Mês)].[All]" dimensionUniqueName="[BASE_VENDAS]" displayFolder="" count="0" memberValueDatatype="20" unbalanced="0" hidden="1"/>
    <cacheHierarchy uniqueName="[Measures].[__XL_Count BASE_COM]" caption="__XL_Count BASE_COM" measure="1" displayFolder="" measureGroup="BASE_COM" count="0" hidden="1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  <cacheHierarchy uniqueName="[Measures].[Contagem de Proposta Enviada ?]" caption="Contagem de Proposta Enviada ?" measure="1" displayFolder="" measureGroup="BASE_CO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Valor Proposta]" caption="Contagem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Semana Envio]" caption="Contagem de Semana Envio" measure="1" displayFolder="" measureGroup="BASE_COM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Data de envio (Mês)]" caption="Contagem de Data de envio (Mês)" measure="1" displayFolder="" measureGroup="BASE_COM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Valor Proposta]" caption="Soma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]" caption="Soma de Valor" measure="1" displayFolder="" measureGroup="BASE_VEND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BASE_COM" uniqueName="[BASE_COM]" caption="BASE_COM"/>
    <dimension name="BASE_VENDAS" uniqueName="[BASE_VENDAS]" caption="BASE_VENDAS"/>
    <dimension measure="1" name="Measures" uniqueName="[Measures]" caption="Measures"/>
  </dimensions>
  <measureGroups count="2">
    <measureGroup name="BASE_COM" caption="BASE_COM"/>
    <measureGroup name="BASE_VENDAS" caption="BASE_VENDA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" refreshedDate="46167.788863657406" backgroundQuery="1" createdVersion="8" refreshedVersion="8" minRefreshableVersion="3" recordCount="0" supportSubquery="1" supportAdvancedDrill="1" xr:uid="{57546A95-A4A1-4E31-8426-C260D5A59E51}">
  <cacheSource type="external" connectionId="1"/>
  <cacheFields count="9">
    <cacheField name="[BASE_VENDAS].[Serviço].[Serviço]" caption="Serviço" numFmtId="0" hierarchy="23" level="1">
      <sharedItems count="8">
        <s v="AF"/>
        <s v="AURICULO"/>
        <s v="ENF"/>
        <s v="ERGO"/>
        <s v="FISIO"/>
        <s v="GL"/>
        <s v="MASSO"/>
        <s v="MED"/>
      </sharedItems>
    </cacheField>
    <cacheField name="[BASE_VENDAS].[Data (Mês)].[Data (Mês)]" caption="Data (Mês)" numFmtId="0" hierarchy="29" level="1">
      <sharedItems count="6">
        <s v="jan"/>
        <s v="fev"/>
        <s v="mar"/>
        <s v="abr"/>
        <s v="mai"/>
        <s v="dez"/>
      </sharedItems>
    </cacheField>
    <cacheField name="[Measures].[Soma de Valor]" caption="Soma de Valor" numFmtId="0" hierarchy="43" level="32767"/>
    <cacheField name="[BASE_VENDAS].[ICP].[ICP]" caption="ICP" numFmtId="0" hierarchy="26" level="1">
      <sharedItems containsSemiMixedTypes="0" containsNonDate="0" containsString="0"/>
    </cacheField>
    <cacheField name="[BASE_COM].[Data (Mês)].[Data (Mês)]" caption="Data (Mês)" numFmtId="0" hierarchy="18" level="1">
      <sharedItems containsSemiMixedTypes="0" containsNonDate="0" containsString="0"/>
    </cacheField>
    <cacheField name="[BASE_COM].[Classificação].[Classificação]" caption="Classificação" numFmtId="0" hierarchy="6" level="1">
      <sharedItems containsSemiMixedTypes="0" containsNonDate="0" containsString="0"/>
    </cacheField>
    <cacheField name="[BASE_COM].[TIPO].[TIPO]" caption="TIPO" numFmtId="0" hierarchy="11" level="1">
      <sharedItems containsSemiMixedTypes="0" containsNonDate="0" containsString="0"/>
    </cacheField>
    <cacheField name="[BASE_COM].[Proposta Enviada ?].[Proposta Enviada ?]" caption="Proposta Enviada ?" numFmtId="0" hierarchy="9" level="1">
      <sharedItems containsSemiMixedTypes="0" containsNonDate="0" containsString="0"/>
    </cacheField>
    <cacheField name="[BASE_COM].[Data de envio (Mês)].[Data de envio (Mês)]" caption="Data de envio (Mês)" numFmtId="0" hierarchy="19" level="1">
      <sharedItems containsSemiMixedTypes="0" containsNonDate="0" containsString="0"/>
    </cacheField>
  </cacheFields>
  <cacheHierarchies count="44">
    <cacheHierarchy uniqueName="[BASE_COM].[Data]" caption="Data" attribute="1" time="1" defaultMemberUniqueName="[BASE_COM].[Data].[All]" allUniqueName="[BASE_COM].[Data].[All]" dimensionUniqueName="[BASE_COM]" displayFolder="" count="0" memberValueDatatype="7" unbalanced="0"/>
    <cacheHierarchy uniqueName="[BASE_COM].[Nome]" caption="Nome" attribute="1" defaultMemberUniqueName="[BASE_COM].[Nome].[All]" allUniqueName="[BASE_COM].[Nome].[All]" dimensionUniqueName="[BASE_COM]" displayFolder="" count="0" memberValueDatatype="130" unbalanced="0"/>
    <cacheHierarchy uniqueName="[BASE_COM].[Cliente]" caption="Cliente" attribute="1" defaultMemberUniqueName="[BASE_COM].[Cliente].[All]" allUniqueName="[BASE_COM].[Cliente].[All]" dimensionUniqueName="[BASE_COM]" displayFolder="" count="0" memberValueDatatype="130" unbalanced="0"/>
    <cacheHierarchy uniqueName="[BASE_COM].[Unidade]" caption="Unidade" attribute="1" defaultMemberUniqueName="[BASE_COM].[Unidade].[All]" allUniqueName="[BASE_COM].[Unidade].[All]" dimensionUniqueName="[BASE_COM]" displayFolder="" count="0" memberValueDatatype="130" unbalanced="0"/>
    <cacheHierarchy uniqueName="[BASE_COM].[Fonte]" caption="Fonte" attribute="1" defaultMemberUniqueName="[BASE_COM].[Fonte].[All]" allUniqueName="[BASE_COM].[Fonte].[All]" dimensionUniqueName="[BASE_COM]" displayFolder="" count="0" memberValueDatatype="130" unbalanced="0"/>
    <cacheHierarchy uniqueName="[BASE_COM].[Campanha]" caption="Campanha" attribute="1" defaultMemberUniqueName="[BASE_COM].[Campanha].[All]" allUniqueName="[BASE_COM].[Campanha].[All]" dimensionUniqueName="[BASE_COM]" displayFolder="" count="0" memberValueDatatype="130" unbalanced="0"/>
    <cacheHierarchy uniqueName="[BASE_COM].[Classificação]" caption="Classificação" attribute="1" defaultMemberUniqueName="[BASE_COM].[Classificação].[All]" allUniqueName="[BASE_COM].[Classificação].[All]" dimensionUniqueName="[BASE_COM]" displayFolder="" count="2" memberValueDatatype="130" unbalanced="0">
      <fieldsUsage count="2">
        <fieldUsage x="-1"/>
        <fieldUsage x="5"/>
      </fieldsUsage>
    </cacheHierarchy>
    <cacheHierarchy uniqueName="[BASE_COM].[Entrada]" caption="Entrada" attribute="1" defaultMemberUniqueName="[BASE_COM].[Entrada].[All]" allUniqueName="[BASE_COM].[Entrada].[All]" dimensionUniqueName="[BASE_COM]" displayFolder="" count="0" memberValueDatatype="130" unbalanced="0"/>
    <cacheHierarchy uniqueName="[BASE_COM].[Serviço]" caption="Serviço" attribute="1" defaultMemberUniqueName="[BASE_COM].[Serviço].[All]" allUniqueName="[BASE_COM].[Serviço].[All]" dimensionUniqueName="[BASE_COM]" displayFolder="" count="0" memberValueDatatype="130" unbalanced="0"/>
    <cacheHierarchy uniqueName="[BASE_COM].[Proposta Enviada ?]" caption="Proposta Enviada ?" attribute="1" defaultMemberUniqueName="[BASE_COM].[Proposta Enviada ?].[All]" allUniqueName="[BASE_COM].[Proposta Enviada ?].[All]" dimensionUniqueName="[BASE_COM]" displayFolder="" count="2" memberValueDatatype="130" unbalanced="0">
      <fieldsUsage count="2">
        <fieldUsage x="-1"/>
        <fieldUsage x="7"/>
      </fieldsUsage>
    </cacheHierarchy>
    <cacheHierarchy uniqueName="[BASE_COM].[Valor Proposta]" caption="Valor Proposta" attribute="1" defaultMemberUniqueName="[BASE_COM].[Valor Proposta].[All]" allUniqueName="[BASE_COM].[Valor Proposta].[All]" dimensionUniqueName="[BASE_COM]" displayFolder="" count="0" memberValueDatatype="5" unbalanced="0"/>
    <cacheHierarchy uniqueName="[BASE_COM].[TIPO]" caption="TIPO" attribute="1" defaultMemberUniqueName="[BASE_COM].[TIPO].[All]" allUniqueName="[BASE_COM].[TIPO].[All]" dimensionUniqueName="[BASE_COM]" displayFolder="" count="2" memberValueDatatype="130" unbalanced="0">
      <fieldsUsage count="2">
        <fieldUsage x="-1"/>
        <fieldUsage x="6"/>
      </fieldsUsage>
    </cacheHierarchy>
    <cacheHierarchy uniqueName="[BASE_COM].[Data de envio]" caption="Data de envio" attribute="1" time="1" defaultMemberUniqueName="[BASE_COM].[Data de envio].[All]" allUniqueName="[BASE_COM].[Data de envio].[All]" dimensionUniqueName="[BASE_COM]" displayFolder="" count="0" memberValueDatatype="7" unbalanced="0"/>
    <cacheHierarchy uniqueName="[BASE_COM].[Mês]" caption="Mês" attribute="1" defaultMemberUniqueName="[BASE_COM].[Mês].[All]" allUniqueName="[BASE_COM].[Mês].[All]" dimensionUniqueName="[BASE_COM]" displayFolder="" count="0" memberValueDatatype="130" unbalanced="0"/>
    <cacheHierarchy uniqueName="[BASE_COM].[Semana Entrada]" caption="Semana Entrada" attribute="1" defaultMemberUniqueName="[BASE_COM].[Semana Entrada].[All]" allUniqueName="[BASE_COM].[Semana Entrada].[All]" dimensionUniqueName="[BASE_COM]" displayFolder="" count="0" memberValueDatatype="130" unbalanced="0"/>
    <cacheHierarchy uniqueName="[BASE_COM].[Semana Envio]" caption="Semana Envio" attribute="1" defaultMemberUniqueName="[BASE_COM].[Semana Envio].[All]" allUniqueName="[BASE_COM].[Semana Envio].[All]" dimensionUniqueName="[BASE_COM]" displayFolder="" count="0" memberValueDatatype="130" unbalanced="0"/>
    <cacheHierarchy uniqueName="[BASE_COM].[Data (Ano)]" caption="Data (Ano)" attribute="1" defaultMemberUniqueName="[BASE_COM].[Data (Ano)].[All]" allUniqueName="[BASE_COM].[Data (Ano)].[All]" dimensionUniqueName="[BASE_COM]" displayFolder="" count="0" memberValueDatatype="130" unbalanced="0"/>
    <cacheHierarchy uniqueName="[BASE_COM].[Data (Trimestre)]" caption="Data (Trimestre)" attribute="1" defaultMemberUniqueName="[BASE_COM].[Data (Trimestre)].[All]" allUniqueName="[BASE_COM].[Data (Trimestre)].[All]" dimensionUniqueName="[BASE_COM]" displayFolder="" count="0" memberValueDatatype="130" unbalanced="0"/>
    <cacheHierarchy uniqueName="[BASE_COM].[Data (Mês)]" caption="Data (Mês)" attribute="1" defaultMemberUniqueName="[BASE_COM].[Data (Mês)].[All]" allUniqueName="[BASE_COM].[Data (Mês)].[All]" dimensionUniqueName="[BASE_COM]" displayFolder="" count="2" memberValueDatatype="130" unbalanced="0">
      <fieldsUsage count="2">
        <fieldUsage x="-1"/>
        <fieldUsage x="4"/>
      </fieldsUsage>
    </cacheHierarchy>
    <cacheHierarchy uniqueName="[BASE_COM].[Data de envio (Mês)]" caption="Data de envio (Mês)" attribute="1" defaultMemberUniqueName="[BASE_COM].[Data de envio (Mês)].[All]" allUniqueName="[BASE_COM].[Data de envio (Mês)].[All]" dimensionUniqueName="[BASE_COM]" displayFolder="" count="2" memberValueDatatype="130" unbalanced="0">
      <fieldsUsage count="2">
        <fieldUsage x="-1"/>
        <fieldUsage x="8"/>
      </fieldsUsage>
    </cacheHierarchy>
    <cacheHierarchy uniqueName="[BASE_VENDAS].[Data]" caption="Data" attribute="1" time="1" defaultMemberUniqueName="[BASE_VENDAS].[Data].[All]" allUniqueName="[BASE_VENDAS].[Data].[All]" dimensionUniqueName="[BASE_VENDAS]" displayFolder="" count="0" memberValueDatatype="7" unbalanced="0"/>
    <cacheHierarchy uniqueName="[BASE_VENDAS].[Cliente]" caption="Cliente" attribute="1" defaultMemberUniqueName="[BASE_VENDAS].[Cliente].[All]" allUniqueName="[BASE_VENDAS].[Cliente].[All]" dimensionUniqueName="[BASE_VENDAS]" displayFolder="" count="0" memberValueDatatype="130" unbalanced="0"/>
    <cacheHierarchy uniqueName="[BASE_VENDAS].[Unidade]" caption="Unidade" attribute="1" defaultMemberUniqueName="[BASE_VENDAS].[Unidade].[All]" allUniqueName="[BASE_VENDAS].[Unidade].[All]" dimensionUniqueName="[BASE_VENDAS]" displayFolder="" count="0" memberValueDatatype="130" unbalanced="0"/>
    <cacheHierarchy uniqueName="[BASE_VENDAS].[Serviço]" caption="Serviço" attribute="1" defaultMemberUniqueName="[BASE_VENDAS].[Serviço].[All]" allUniqueName="[BASE_VENDAS].[Serviço].[All]" dimensionUniqueName="[BASE_VENDAS]" displayFolder="" count="2" memberValueDatatype="130" unbalanced="0">
      <fieldsUsage count="2">
        <fieldUsage x="-1"/>
        <fieldUsage x="0"/>
      </fieldsUsage>
    </cacheHierarchy>
    <cacheHierarchy uniqueName="[BASE_VENDAS].[Entrada]" caption="Entrada" attribute="1" defaultMemberUniqueName="[BASE_VENDAS].[Entrada].[All]" allUniqueName="[BASE_VENDAS].[Entrada].[All]" dimensionUniqueName="[BASE_VENDAS]" displayFolder="" count="0" memberValueDatatype="130" unbalanced="0"/>
    <cacheHierarchy uniqueName="[BASE_VENDAS].[Reativação?]" caption="Reativação?" attribute="1" defaultMemberUniqueName="[BASE_VENDAS].[Reativação?].[All]" allUniqueName="[BASE_VENDAS].[Reativação?].[All]" dimensionUniqueName="[BASE_VENDAS]" displayFolder="" count="0" memberValueDatatype="130" unbalanced="0"/>
    <cacheHierarchy uniqueName="[BASE_VENDAS].[ICP]" caption="ICP" attribute="1" defaultMemberUniqueName="[BASE_VENDAS].[ICP].[All]" allUniqueName="[BASE_VENDAS].[ICP].[All]" dimensionUniqueName="[BASE_VENDAS]" displayFolder="" count="2" memberValueDatatype="130" unbalanced="0">
      <fieldsUsage count="2">
        <fieldUsage x="-1"/>
        <fieldUsage x="3"/>
      </fieldsUsage>
    </cacheHierarchy>
    <cacheHierarchy uniqueName="[BASE_VENDAS].[Tipo]" caption="Tipo" attribute="1" defaultMemberUniqueName="[BASE_VENDAS].[Tipo].[All]" allUniqueName="[BASE_VENDAS].[Tipo].[All]" dimensionUniqueName="[BASE_VENDAS]" displayFolder="" count="0" memberValueDatatype="130" unbalanced="0"/>
    <cacheHierarchy uniqueName="[BASE_VENDAS].[Valor]" caption="Valor" attribute="1" defaultMemberUniqueName="[BASE_VENDAS].[Valor].[All]" allUniqueName="[BASE_VENDAS].[Valor].[All]" dimensionUniqueName="[BASE_VENDAS]" displayFolder="" count="0" memberValueDatatype="5" unbalanced="0"/>
    <cacheHierarchy uniqueName="[BASE_VENDAS].[Data (Mês)]" caption="Data (Mês)" attribute="1" defaultMemberUniqueName="[BASE_VENDAS].[Data (Mês)].[All]" allUniqueName="[BASE_VENDAS].[Data (Mês)].[All]" dimensionUniqueName="[BASE_VENDAS]" displayFolder="" count="2" memberValueDatatype="130" unbalanced="0">
      <fieldsUsage count="2">
        <fieldUsage x="-1"/>
        <fieldUsage x="1"/>
      </fieldsUsage>
    </cacheHierarchy>
    <cacheHierarchy uniqueName="[BASE_VENDAS].[MÊS VENDA]" caption="MÊS VENDA" attribute="1" defaultMemberUniqueName="[BASE_VENDAS].[MÊS VENDA].[All]" allUniqueName="[BASE_VENDAS].[MÊS VENDA].[All]" dimensionUniqueName="[BASE_VENDAS]" displayFolder="" count="0" memberValueDatatype="130" unbalanced="0"/>
    <cacheHierarchy uniqueName="[BASE_VENDAS].[ORIGEM]" caption="ORIGEM" attribute="1" defaultMemberUniqueName="[BASE_VENDAS].[ORIGEM].[All]" allUniqueName="[BASE_VENDAS].[ORIGEM].[All]" dimensionUniqueName="[BASE_VENDAS]" displayFolder="" count="0" memberValueDatatype="130" unbalanced="0"/>
    <cacheHierarchy uniqueName="[BASE_COM].[Data (Índice de Mês)]" caption="Data (Índice de Mês)" attribute="1" defaultMemberUniqueName="[BASE_COM].[Data (Índice de Mês)].[All]" allUniqueName="[BASE_COM].[Data (Índice de Mês)].[All]" dimensionUniqueName="[BASE_COM]" displayFolder="" count="0" memberValueDatatype="20" unbalanced="0" hidden="1"/>
    <cacheHierarchy uniqueName="[BASE_COM].[Data de envio (Índice de Mês)]" caption="Data de envio (Índice de Mês)" attribute="1" defaultMemberUniqueName="[BASE_COM].[Data de envio (Índice de Mês)].[All]" allUniqueName="[BASE_COM].[Data de envio (Índice de Mês)].[All]" dimensionUniqueName="[BASE_COM]" displayFolder="" count="0" memberValueDatatype="20" unbalanced="0" hidden="1"/>
    <cacheHierarchy uniqueName="[BASE_VENDAS].[Data (Índice de Mês)]" caption="Data (Índice de Mês)" attribute="1" defaultMemberUniqueName="[BASE_VENDAS].[Data (Índice de Mês)].[All]" allUniqueName="[BASE_VENDAS].[Data (Índice de Mês)].[All]" dimensionUniqueName="[BASE_VENDAS]" displayFolder="" count="0" memberValueDatatype="20" unbalanced="0" hidden="1"/>
    <cacheHierarchy uniqueName="[Measures].[__XL_Count BASE_COM]" caption="__XL_Count BASE_COM" measure="1" displayFolder="" measureGroup="BASE_COM" count="0" hidden="1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  <cacheHierarchy uniqueName="[Measures].[Contagem de Proposta Enviada ?]" caption="Contagem de Proposta Enviada ?" measure="1" displayFolder="" measureGroup="BASE_CO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Valor Proposta]" caption="Contagem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Semana Envio]" caption="Contagem de Semana Envio" measure="1" displayFolder="" measureGroup="BASE_COM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Data de envio (Mês)]" caption="Contagem de Data de envio (Mês)" measure="1" displayFolder="" measureGroup="BASE_COM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Valor Proposta]" caption="Soma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]" caption="Soma de Valor" measure="1" displayFolder="" measureGroup="BASE_VEND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BASE_COM" uniqueName="[BASE_COM]" caption="BASE_COM"/>
    <dimension name="BASE_VENDAS" uniqueName="[BASE_VENDAS]" caption="BASE_VENDAS"/>
    <dimension measure="1" name="Measures" uniqueName="[Measures]" caption="Measures"/>
  </dimensions>
  <measureGroups count="2">
    <measureGroup name="BASE_COM" caption="BASE_COM"/>
    <measureGroup name="BASE_VENDAS" caption="BASE_VENDA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" refreshedDate="46167.788864814815" backgroundQuery="1" createdVersion="8" refreshedVersion="8" minRefreshableVersion="3" recordCount="0" supportSubquery="1" supportAdvancedDrill="1" xr:uid="{44D9ECA3-0261-443E-BCE5-4F9377AD63D0}">
  <cacheSource type="external" connectionId="1"/>
  <cacheFields count="9">
    <cacheField name="[BASE_COM].[Data de envio (Mês)].[Data de envio (Mês)]" caption="Data de envio (Mês)" numFmtId="0" hierarchy="19" level="1">
      <sharedItems count="5">
        <s v="jan"/>
        <s v="fev"/>
        <s v="mar"/>
        <s v="abr"/>
        <s v="mai"/>
      </sharedItems>
    </cacheField>
    <cacheField name="[Measures].[Contagem de Semana Envio]" caption="Contagem de Semana Envio" numFmtId="0" hierarchy="40" level="32767"/>
    <cacheField name="[BASE_COM].[Semana Envio].[Semana Envio]" caption="Semana Envio" numFmtId="0" hierarchy="15" level="1">
      <sharedItems count="5">
        <s v="1ª semana"/>
        <s v="2ª semana"/>
        <s v="3ª semana"/>
        <s v="4ª semana"/>
        <s v="5ª semana"/>
      </sharedItems>
    </cacheField>
    <cacheField name="[BASE_VENDAS].[Data (Mês)].[Data (Mês)]" caption="Data (Mês)" numFmtId="0" hierarchy="29" level="1">
      <sharedItems containsSemiMixedTypes="0" containsNonDate="0" containsString="0"/>
    </cacheField>
    <cacheField name="[BASE_VENDAS].[ICP].[ICP]" caption="ICP" numFmtId="0" hierarchy="26" level="1">
      <sharedItems containsSemiMixedTypes="0" containsNonDate="0" containsString="0"/>
    </cacheField>
    <cacheField name="[BASE_COM].[Data (Mês)].[Data (Mês)]" caption="Data (Mês)" numFmtId="0" hierarchy="18" level="1">
      <sharedItems containsSemiMixedTypes="0" containsNonDate="0" containsString="0"/>
    </cacheField>
    <cacheField name="[BASE_COM].[Classificação].[Classificação]" caption="Classificação" numFmtId="0" hierarchy="6" level="1">
      <sharedItems containsSemiMixedTypes="0" containsNonDate="0" containsString="0"/>
    </cacheField>
    <cacheField name="[BASE_COM].[TIPO].[TIPO]" caption="TIPO" numFmtId="0" hierarchy="11" level="1">
      <sharedItems containsSemiMixedTypes="0" containsNonDate="0" containsString="0"/>
    </cacheField>
    <cacheField name="[BASE_COM].[Proposta Enviada ?].[Proposta Enviada ?]" caption="Proposta Enviada ?" numFmtId="0" hierarchy="9" level="1">
      <sharedItems containsSemiMixedTypes="0" containsNonDate="0" containsString="0"/>
    </cacheField>
  </cacheFields>
  <cacheHierarchies count="44">
    <cacheHierarchy uniqueName="[BASE_COM].[Data]" caption="Data" attribute="1" time="1" defaultMemberUniqueName="[BASE_COM].[Data].[All]" allUniqueName="[BASE_COM].[Data].[All]" dimensionUniqueName="[BASE_COM]" displayFolder="" count="0" memberValueDatatype="7" unbalanced="0"/>
    <cacheHierarchy uniqueName="[BASE_COM].[Nome]" caption="Nome" attribute="1" defaultMemberUniqueName="[BASE_COM].[Nome].[All]" allUniqueName="[BASE_COM].[Nome].[All]" dimensionUniqueName="[BASE_COM]" displayFolder="" count="0" memberValueDatatype="130" unbalanced="0"/>
    <cacheHierarchy uniqueName="[BASE_COM].[Cliente]" caption="Cliente" attribute="1" defaultMemberUniqueName="[BASE_COM].[Cliente].[All]" allUniqueName="[BASE_COM].[Cliente].[All]" dimensionUniqueName="[BASE_COM]" displayFolder="" count="0" memberValueDatatype="130" unbalanced="0"/>
    <cacheHierarchy uniqueName="[BASE_COM].[Unidade]" caption="Unidade" attribute="1" defaultMemberUniqueName="[BASE_COM].[Unidade].[All]" allUniqueName="[BASE_COM].[Unidade].[All]" dimensionUniqueName="[BASE_COM]" displayFolder="" count="0" memberValueDatatype="130" unbalanced="0"/>
    <cacheHierarchy uniqueName="[BASE_COM].[Fonte]" caption="Fonte" attribute="1" defaultMemberUniqueName="[BASE_COM].[Fonte].[All]" allUniqueName="[BASE_COM].[Fonte].[All]" dimensionUniqueName="[BASE_COM]" displayFolder="" count="0" memberValueDatatype="130" unbalanced="0"/>
    <cacheHierarchy uniqueName="[BASE_COM].[Campanha]" caption="Campanha" attribute="1" defaultMemberUniqueName="[BASE_COM].[Campanha].[All]" allUniqueName="[BASE_COM].[Campanha].[All]" dimensionUniqueName="[BASE_COM]" displayFolder="" count="0" memberValueDatatype="130" unbalanced="0"/>
    <cacheHierarchy uniqueName="[BASE_COM].[Classificação]" caption="Classificação" attribute="1" defaultMemberUniqueName="[BASE_COM].[Classificação].[All]" allUniqueName="[BASE_COM].[Classificação].[All]" dimensionUniqueName="[BASE_COM]" displayFolder="" count="2" memberValueDatatype="130" unbalanced="0">
      <fieldsUsage count="2">
        <fieldUsage x="-1"/>
        <fieldUsage x="6"/>
      </fieldsUsage>
    </cacheHierarchy>
    <cacheHierarchy uniqueName="[BASE_COM].[Entrada]" caption="Entrada" attribute="1" defaultMemberUniqueName="[BASE_COM].[Entrada].[All]" allUniqueName="[BASE_COM].[Entrada].[All]" dimensionUniqueName="[BASE_COM]" displayFolder="" count="0" memberValueDatatype="130" unbalanced="0"/>
    <cacheHierarchy uniqueName="[BASE_COM].[Serviço]" caption="Serviço" attribute="1" defaultMemberUniqueName="[BASE_COM].[Serviço].[All]" allUniqueName="[BASE_COM].[Serviço].[All]" dimensionUniqueName="[BASE_COM]" displayFolder="" count="0" memberValueDatatype="130" unbalanced="0"/>
    <cacheHierarchy uniqueName="[BASE_COM].[Proposta Enviada ?]" caption="Proposta Enviada ?" attribute="1" defaultMemberUniqueName="[BASE_COM].[Proposta Enviada ?].[All]" allUniqueName="[BASE_COM].[Proposta Enviada ?].[All]" dimensionUniqueName="[BASE_COM]" displayFolder="" count="2" memberValueDatatype="130" unbalanced="0">
      <fieldsUsage count="2">
        <fieldUsage x="-1"/>
        <fieldUsage x="8"/>
      </fieldsUsage>
    </cacheHierarchy>
    <cacheHierarchy uniqueName="[BASE_COM].[Valor Proposta]" caption="Valor Proposta" attribute="1" defaultMemberUniqueName="[BASE_COM].[Valor Proposta].[All]" allUniqueName="[BASE_COM].[Valor Proposta].[All]" dimensionUniqueName="[BASE_COM]" displayFolder="" count="0" memberValueDatatype="5" unbalanced="0"/>
    <cacheHierarchy uniqueName="[BASE_COM].[TIPO]" caption="TIPO" attribute="1" defaultMemberUniqueName="[BASE_COM].[TIPO].[All]" allUniqueName="[BASE_COM].[TIPO].[All]" dimensionUniqueName="[BASE_COM]" displayFolder="" count="2" memberValueDatatype="130" unbalanced="0">
      <fieldsUsage count="2">
        <fieldUsage x="-1"/>
        <fieldUsage x="7"/>
      </fieldsUsage>
    </cacheHierarchy>
    <cacheHierarchy uniqueName="[BASE_COM].[Data de envio]" caption="Data de envio" attribute="1" time="1" defaultMemberUniqueName="[BASE_COM].[Data de envio].[All]" allUniqueName="[BASE_COM].[Data de envio].[All]" dimensionUniqueName="[BASE_COM]" displayFolder="" count="0" memberValueDatatype="7" unbalanced="0"/>
    <cacheHierarchy uniqueName="[BASE_COM].[Mês]" caption="Mês" attribute="1" defaultMemberUniqueName="[BASE_COM].[Mês].[All]" allUniqueName="[BASE_COM].[Mês].[All]" dimensionUniqueName="[BASE_COM]" displayFolder="" count="0" memberValueDatatype="130" unbalanced="0"/>
    <cacheHierarchy uniqueName="[BASE_COM].[Semana Entrada]" caption="Semana Entrada" attribute="1" defaultMemberUniqueName="[BASE_COM].[Semana Entrada].[All]" allUniqueName="[BASE_COM].[Semana Entrada].[All]" dimensionUniqueName="[BASE_COM]" displayFolder="" count="0" memberValueDatatype="130" unbalanced="0"/>
    <cacheHierarchy uniqueName="[BASE_COM].[Semana Envio]" caption="Semana Envio" attribute="1" defaultMemberUniqueName="[BASE_COM].[Semana Envio].[All]" allUniqueName="[BASE_COM].[Semana Envio].[All]" dimensionUniqueName="[BASE_COM]" displayFolder="" count="2" memberValueDatatype="130" unbalanced="0">
      <fieldsUsage count="2">
        <fieldUsage x="-1"/>
        <fieldUsage x="2"/>
      </fieldsUsage>
    </cacheHierarchy>
    <cacheHierarchy uniqueName="[BASE_COM].[Data (Ano)]" caption="Data (Ano)" attribute="1" defaultMemberUniqueName="[BASE_COM].[Data (Ano)].[All]" allUniqueName="[BASE_COM].[Data (Ano)].[All]" dimensionUniqueName="[BASE_COM]" displayFolder="" count="0" memberValueDatatype="130" unbalanced="0"/>
    <cacheHierarchy uniqueName="[BASE_COM].[Data (Trimestre)]" caption="Data (Trimestre)" attribute="1" defaultMemberUniqueName="[BASE_COM].[Data (Trimestre)].[All]" allUniqueName="[BASE_COM].[Data (Trimestre)].[All]" dimensionUniqueName="[BASE_COM]" displayFolder="" count="0" memberValueDatatype="130" unbalanced="0"/>
    <cacheHierarchy uniqueName="[BASE_COM].[Data (Mês)]" caption="Data (Mês)" attribute="1" defaultMemberUniqueName="[BASE_COM].[Data (Mês)].[All]" allUniqueName="[BASE_COM].[Data (Mês)].[All]" dimensionUniqueName="[BASE_COM]" displayFolder="" count="2" memberValueDatatype="130" unbalanced="0">
      <fieldsUsage count="2">
        <fieldUsage x="-1"/>
        <fieldUsage x="5"/>
      </fieldsUsage>
    </cacheHierarchy>
    <cacheHierarchy uniqueName="[BASE_COM].[Data de envio (Mês)]" caption="Data de envio (Mês)" attribute="1" defaultMemberUniqueName="[BASE_COM].[Data de envio (Mês)].[All]" allUniqueName="[BASE_COM].[Data de envio (Mês)].[All]" dimensionUniqueName="[BASE_COM]" displayFolder="" count="2" memberValueDatatype="130" unbalanced="0">
      <fieldsUsage count="2">
        <fieldUsage x="-1"/>
        <fieldUsage x="0"/>
      </fieldsUsage>
    </cacheHierarchy>
    <cacheHierarchy uniqueName="[BASE_VENDAS].[Data]" caption="Data" attribute="1" time="1" defaultMemberUniqueName="[BASE_VENDAS].[Data].[All]" allUniqueName="[BASE_VENDAS].[Data].[All]" dimensionUniqueName="[BASE_VENDAS]" displayFolder="" count="0" memberValueDatatype="7" unbalanced="0"/>
    <cacheHierarchy uniqueName="[BASE_VENDAS].[Cliente]" caption="Cliente" attribute="1" defaultMemberUniqueName="[BASE_VENDAS].[Cliente].[All]" allUniqueName="[BASE_VENDAS].[Cliente].[All]" dimensionUniqueName="[BASE_VENDAS]" displayFolder="" count="0" memberValueDatatype="130" unbalanced="0"/>
    <cacheHierarchy uniqueName="[BASE_VENDAS].[Unidade]" caption="Unidade" attribute="1" defaultMemberUniqueName="[BASE_VENDAS].[Unidade].[All]" allUniqueName="[BASE_VENDAS].[Unidade].[All]" dimensionUniqueName="[BASE_VENDAS]" displayFolder="" count="0" memberValueDatatype="130" unbalanced="0"/>
    <cacheHierarchy uniqueName="[BASE_VENDAS].[Serviço]" caption="Serviço" attribute="1" defaultMemberUniqueName="[BASE_VENDAS].[Serviço].[All]" allUniqueName="[BASE_VENDAS].[Serviço].[All]" dimensionUniqueName="[BASE_VENDAS]" displayFolder="" count="0" memberValueDatatype="130" unbalanced="0"/>
    <cacheHierarchy uniqueName="[BASE_VENDAS].[Entrada]" caption="Entrada" attribute="1" defaultMemberUniqueName="[BASE_VENDAS].[Entrada].[All]" allUniqueName="[BASE_VENDAS].[Entrada].[All]" dimensionUniqueName="[BASE_VENDAS]" displayFolder="" count="0" memberValueDatatype="130" unbalanced="0"/>
    <cacheHierarchy uniqueName="[BASE_VENDAS].[Reativação?]" caption="Reativação?" attribute="1" defaultMemberUniqueName="[BASE_VENDAS].[Reativação?].[All]" allUniqueName="[BASE_VENDAS].[Reativação?].[All]" dimensionUniqueName="[BASE_VENDAS]" displayFolder="" count="0" memberValueDatatype="130" unbalanced="0"/>
    <cacheHierarchy uniqueName="[BASE_VENDAS].[ICP]" caption="ICP" attribute="1" defaultMemberUniqueName="[BASE_VENDAS].[ICP].[All]" allUniqueName="[BASE_VENDAS].[ICP].[All]" dimensionUniqueName="[BASE_VENDAS]" displayFolder="" count="2" memberValueDatatype="130" unbalanced="0">
      <fieldsUsage count="2">
        <fieldUsage x="-1"/>
        <fieldUsage x="4"/>
      </fieldsUsage>
    </cacheHierarchy>
    <cacheHierarchy uniqueName="[BASE_VENDAS].[Tipo]" caption="Tipo" attribute="1" defaultMemberUniqueName="[BASE_VENDAS].[Tipo].[All]" allUniqueName="[BASE_VENDAS].[Tipo].[All]" dimensionUniqueName="[BASE_VENDAS]" displayFolder="" count="0" memberValueDatatype="130" unbalanced="0"/>
    <cacheHierarchy uniqueName="[BASE_VENDAS].[Valor]" caption="Valor" attribute="1" defaultMemberUniqueName="[BASE_VENDAS].[Valor].[All]" allUniqueName="[BASE_VENDAS].[Valor].[All]" dimensionUniqueName="[BASE_VENDAS]" displayFolder="" count="0" memberValueDatatype="5" unbalanced="0"/>
    <cacheHierarchy uniqueName="[BASE_VENDAS].[Data (Mês)]" caption="Data (Mês)" attribute="1" defaultMemberUniqueName="[BASE_VENDAS].[Data (Mês)].[All]" allUniqueName="[BASE_VENDAS].[Data (Mês)].[All]" dimensionUniqueName="[BASE_VENDAS]" displayFolder="" count="2" memberValueDatatype="130" unbalanced="0">
      <fieldsUsage count="2">
        <fieldUsage x="-1"/>
        <fieldUsage x="3"/>
      </fieldsUsage>
    </cacheHierarchy>
    <cacheHierarchy uniqueName="[BASE_VENDAS].[MÊS VENDA]" caption="MÊS VENDA" attribute="1" defaultMemberUniqueName="[BASE_VENDAS].[MÊS VENDA].[All]" allUniqueName="[BASE_VENDAS].[MÊS VENDA].[All]" dimensionUniqueName="[BASE_VENDAS]" displayFolder="" count="0" memberValueDatatype="130" unbalanced="0"/>
    <cacheHierarchy uniqueName="[BASE_VENDAS].[ORIGEM]" caption="ORIGEM" attribute="1" defaultMemberUniqueName="[BASE_VENDAS].[ORIGEM].[All]" allUniqueName="[BASE_VENDAS].[ORIGEM].[All]" dimensionUniqueName="[BASE_VENDAS]" displayFolder="" count="0" memberValueDatatype="130" unbalanced="0"/>
    <cacheHierarchy uniqueName="[BASE_COM].[Data (Índice de Mês)]" caption="Data (Índice de Mês)" attribute="1" defaultMemberUniqueName="[BASE_COM].[Data (Índice de Mês)].[All]" allUniqueName="[BASE_COM].[Data (Índice de Mês)].[All]" dimensionUniqueName="[BASE_COM]" displayFolder="" count="0" memberValueDatatype="20" unbalanced="0" hidden="1"/>
    <cacheHierarchy uniqueName="[BASE_COM].[Data de envio (Índice de Mês)]" caption="Data de envio (Índice de Mês)" attribute="1" defaultMemberUniqueName="[BASE_COM].[Data de envio (Índice de Mês)].[All]" allUniqueName="[BASE_COM].[Data de envio (Índice de Mês)].[All]" dimensionUniqueName="[BASE_COM]" displayFolder="" count="0" memberValueDatatype="20" unbalanced="0" hidden="1"/>
    <cacheHierarchy uniqueName="[BASE_VENDAS].[Data (Índice de Mês)]" caption="Data (Índice de Mês)" attribute="1" defaultMemberUniqueName="[BASE_VENDAS].[Data (Índice de Mês)].[All]" allUniqueName="[BASE_VENDAS].[Data (Índice de Mês)].[All]" dimensionUniqueName="[BASE_VENDAS]" displayFolder="" count="0" memberValueDatatype="20" unbalanced="0" hidden="1"/>
    <cacheHierarchy uniqueName="[Measures].[__XL_Count BASE_COM]" caption="__XL_Count BASE_COM" measure="1" displayFolder="" measureGroup="BASE_COM" count="0" hidden="1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  <cacheHierarchy uniqueName="[Measures].[Contagem de Proposta Enviada ?]" caption="Contagem de Proposta Enviada ?" measure="1" displayFolder="" measureGroup="BASE_CO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Valor Proposta]" caption="Contagem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Semana Envio]" caption="Contagem de Semana Envio" measure="1" displayFolder="" measureGroup="BASE_COM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Data de envio (Mês)]" caption="Contagem de Data de envio (Mês)" measure="1" displayFolder="" measureGroup="BASE_COM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Valor Proposta]" caption="Soma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]" caption="Soma de Valor" measure="1" displayFolder="" measureGroup="BASE_VENDA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BASE_COM" uniqueName="[BASE_COM]" caption="BASE_COM"/>
    <dimension name="BASE_VENDAS" uniqueName="[BASE_VENDAS]" caption="BASE_VENDAS"/>
    <dimension measure="1" name="Measures" uniqueName="[Measures]" caption="Measures"/>
  </dimensions>
  <measureGroups count="2">
    <measureGroup name="BASE_COM" caption="BASE_COM"/>
    <measureGroup name="BASE_VENDAS" caption="BASE_VENDA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" refreshedDate="46167.788865972223" backgroundQuery="1" createdVersion="8" refreshedVersion="8" minRefreshableVersion="3" recordCount="0" supportSubquery="1" supportAdvancedDrill="1" xr:uid="{381D3AB2-21A9-4AC8-B8DD-E3FB85A5BBC6}">
  <cacheSource type="external" connectionId="1"/>
  <cacheFields count="8">
    <cacheField name="[BASE_COM].[Proposta Enviada ?].[Proposta Enviada ?]" caption="Proposta Enviada ?" numFmtId="0" hierarchy="9" level="1">
      <sharedItems count="1">
        <s v="S"/>
      </sharedItems>
    </cacheField>
    <cacheField name="[BASE_COM].[Data (Mês)].[Data (Mês)]" caption="Data (Mês)" numFmtId="0" hierarchy="18" level="1">
      <sharedItems count="5">
        <s v="jan"/>
        <s v="fev"/>
        <s v="mar"/>
        <s v="abr"/>
        <s v="mai"/>
      </sharedItems>
    </cacheField>
    <cacheField name="[Measures].[Contagem de Proposta Enviada ?]" caption="Contagem de Proposta Enviada ?" numFmtId="0" hierarchy="38" level="32767"/>
    <cacheField name="[BASE_VENDAS].[Data (Mês)].[Data (Mês)]" caption="Data (Mês)" numFmtId="0" hierarchy="29" level="1">
      <sharedItems containsSemiMixedTypes="0" containsNonDate="0" containsString="0"/>
    </cacheField>
    <cacheField name="[BASE_VENDAS].[ICP].[ICP]" caption="ICP" numFmtId="0" hierarchy="26" level="1">
      <sharedItems containsSemiMixedTypes="0" containsNonDate="0" containsString="0"/>
    </cacheField>
    <cacheField name="[BASE_COM].[Classificação].[Classificação]" caption="Classificação" numFmtId="0" hierarchy="6" level="1">
      <sharedItems containsSemiMixedTypes="0" containsNonDate="0" containsString="0"/>
    </cacheField>
    <cacheField name="[BASE_COM].[TIPO].[TIPO]" caption="TIPO" numFmtId="0" hierarchy="11" level="1">
      <sharedItems containsSemiMixedTypes="0" containsNonDate="0" containsString="0"/>
    </cacheField>
    <cacheField name="[BASE_COM].[Data de envio (Mês)].[Data de envio (Mês)]" caption="Data de envio (Mês)" numFmtId="0" hierarchy="19" level="1">
      <sharedItems containsSemiMixedTypes="0" containsNonDate="0" containsString="0"/>
    </cacheField>
  </cacheFields>
  <cacheHierarchies count="44">
    <cacheHierarchy uniqueName="[BASE_COM].[Data]" caption="Data" attribute="1" time="1" defaultMemberUniqueName="[BASE_COM].[Data].[All]" allUniqueName="[BASE_COM].[Data].[All]" dimensionUniqueName="[BASE_COM]" displayFolder="" count="0" memberValueDatatype="7" unbalanced="0"/>
    <cacheHierarchy uniqueName="[BASE_COM].[Nome]" caption="Nome" attribute="1" defaultMemberUniqueName="[BASE_COM].[Nome].[All]" allUniqueName="[BASE_COM].[Nome].[All]" dimensionUniqueName="[BASE_COM]" displayFolder="" count="0" memberValueDatatype="130" unbalanced="0"/>
    <cacheHierarchy uniqueName="[BASE_COM].[Cliente]" caption="Cliente" attribute="1" defaultMemberUniqueName="[BASE_COM].[Cliente].[All]" allUniqueName="[BASE_COM].[Cliente].[All]" dimensionUniqueName="[BASE_COM]" displayFolder="" count="0" memberValueDatatype="130" unbalanced="0"/>
    <cacheHierarchy uniqueName="[BASE_COM].[Unidade]" caption="Unidade" attribute="1" defaultMemberUniqueName="[BASE_COM].[Unidade].[All]" allUniqueName="[BASE_COM].[Unidade].[All]" dimensionUniqueName="[BASE_COM]" displayFolder="" count="0" memberValueDatatype="130" unbalanced="0"/>
    <cacheHierarchy uniqueName="[BASE_COM].[Fonte]" caption="Fonte" attribute="1" defaultMemberUniqueName="[BASE_COM].[Fonte].[All]" allUniqueName="[BASE_COM].[Fonte].[All]" dimensionUniqueName="[BASE_COM]" displayFolder="" count="0" memberValueDatatype="130" unbalanced="0"/>
    <cacheHierarchy uniqueName="[BASE_COM].[Campanha]" caption="Campanha" attribute="1" defaultMemberUniqueName="[BASE_COM].[Campanha].[All]" allUniqueName="[BASE_COM].[Campanha].[All]" dimensionUniqueName="[BASE_COM]" displayFolder="" count="0" memberValueDatatype="130" unbalanced="0"/>
    <cacheHierarchy uniqueName="[BASE_COM].[Classificação]" caption="Classificação" attribute="1" defaultMemberUniqueName="[BASE_COM].[Classificação].[All]" allUniqueName="[BASE_COM].[Classificação].[All]" dimensionUniqueName="[BASE_COM]" displayFolder="" count="2" memberValueDatatype="130" unbalanced="0">
      <fieldsUsage count="2">
        <fieldUsage x="-1"/>
        <fieldUsage x="5"/>
      </fieldsUsage>
    </cacheHierarchy>
    <cacheHierarchy uniqueName="[BASE_COM].[Entrada]" caption="Entrada" attribute="1" defaultMemberUniqueName="[BASE_COM].[Entrada].[All]" allUniqueName="[BASE_COM].[Entrada].[All]" dimensionUniqueName="[BASE_COM]" displayFolder="" count="0" memberValueDatatype="130" unbalanced="0"/>
    <cacheHierarchy uniqueName="[BASE_COM].[Serviço]" caption="Serviço" attribute="1" defaultMemberUniqueName="[BASE_COM].[Serviço].[All]" allUniqueName="[BASE_COM].[Serviço].[All]" dimensionUniqueName="[BASE_COM]" displayFolder="" count="0" memberValueDatatype="130" unbalanced="0"/>
    <cacheHierarchy uniqueName="[BASE_COM].[Proposta Enviada ?]" caption="Proposta Enviada ?" attribute="1" defaultMemberUniqueName="[BASE_COM].[Proposta Enviada ?].[All]" allUniqueName="[BASE_COM].[Proposta Enviada ?].[All]" dimensionUniqueName="[BASE_COM]" displayFolder="" count="2" memberValueDatatype="130" unbalanced="0">
      <fieldsUsage count="2">
        <fieldUsage x="-1"/>
        <fieldUsage x="0"/>
      </fieldsUsage>
    </cacheHierarchy>
    <cacheHierarchy uniqueName="[BASE_COM].[Valor Proposta]" caption="Valor Proposta" attribute="1" defaultMemberUniqueName="[BASE_COM].[Valor Proposta].[All]" allUniqueName="[BASE_COM].[Valor Proposta].[All]" dimensionUniqueName="[BASE_COM]" displayFolder="" count="0" memberValueDatatype="5" unbalanced="0"/>
    <cacheHierarchy uniqueName="[BASE_COM].[TIPO]" caption="TIPO" attribute="1" defaultMemberUniqueName="[BASE_COM].[TIPO].[All]" allUniqueName="[BASE_COM].[TIPO].[All]" dimensionUniqueName="[BASE_COM]" displayFolder="" count="2" memberValueDatatype="130" unbalanced="0">
      <fieldsUsage count="2">
        <fieldUsage x="-1"/>
        <fieldUsage x="6"/>
      </fieldsUsage>
    </cacheHierarchy>
    <cacheHierarchy uniqueName="[BASE_COM].[Data de envio]" caption="Data de envio" attribute="1" time="1" defaultMemberUniqueName="[BASE_COM].[Data de envio].[All]" allUniqueName="[BASE_COM].[Data de envio].[All]" dimensionUniqueName="[BASE_COM]" displayFolder="" count="0" memberValueDatatype="7" unbalanced="0"/>
    <cacheHierarchy uniqueName="[BASE_COM].[Mês]" caption="Mês" attribute="1" defaultMemberUniqueName="[BASE_COM].[Mês].[All]" allUniqueName="[BASE_COM].[Mês].[All]" dimensionUniqueName="[BASE_COM]" displayFolder="" count="0" memberValueDatatype="130" unbalanced="0"/>
    <cacheHierarchy uniqueName="[BASE_COM].[Semana Entrada]" caption="Semana Entrada" attribute="1" defaultMemberUniqueName="[BASE_COM].[Semana Entrada].[All]" allUniqueName="[BASE_COM].[Semana Entrada].[All]" dimensionUniqueName="[BASE_COM]" displayFolder="" count="0" memberValueDatatype="130" unbalanced="0"/>
    <cacheHierarchy uniqueName="[BASE_COM].[Semana Envio]" caption="Semana Envio" attribute="1" defaultMemberUniqueName="[BASE_COM].[Semana Envio].[All]" allUniqueName="[BASE_COM].[Semana Envio].[All]" dimensionUniqueName="[BASE_COM]" displayFolder="" count="0" memberValueDatatype="130" unbalanced="0"/>
    <cacheHierarchy uniqueName="[BASE_COM].[Data (Ano)]" caption="Data (Ano)" attribute="1" defaultMemberUniqueName="[BASE_COM].[Data (Ano)].[All]" allUniqueName="[BASE_COM].[Data (Ano)].[All]" dimensionUniqueName="[BASE_COM]" displayFolder="" count="0" memberValueDatatype="130" unbalanced="0"/>
    <cacheHierarchy uniqueName="[BASE_COM].[Data (Trimestre)]" caption="Data (Trimestre)" attribute="1" defaultMemberUniqueName="[BASE_COM].[Data (Trimestre)].[All]" allUniqueName="[BASE_COM].[Data (Trimestre)].[All]" dimensionUniqueName="[BASE_COM]" displayFolder="" count="0" memberValueDatatype="130" unbalanced="0"/>
    <cacheHierarchy uniqueName="[BASE_COM].[Data (Mês)]" caption="Data (Mês)" attribute="1" defaultMemberUniqueName="[BASE_COM].[Data (Mês)].[All]" allUniqueName="[BASE_COM].[Data (Mês)].[All]" dimensionUniqueName="[BASE_COM]" displayFolder="" count="2" memberValueDatatype="130" unbalanced="0">
      <fieldsUsage count="2">
        <fieldUsage x="-1"/>
        <fieldUsage x="1"/>
      </fieldsUsage>
    </cacheHierarchy>
    <cacheHierarchy uniqueName="[BASE_COM].[Data de envio (Mês)]" caption="Data de envio (Mês)" attribute="1" defaultMemberUniqueName="[BASE_COM].[Data de envio (Mês)].[All]" allUniqueName="[BASE_COM].[Data de envio (Mês)].[All]" dimensionUniqueName="[BASE_COM]" displayFolder="" count="2" memberValueDatatype="130" unbalanced="0">
      <fieldsUsage count="2">
        <fieldUsage x="-1"/>
        <fieldUsage x="7"/>
      </fieldsUsage>
    </cacheHierarchy>
    <cacheHierarchy uniqueName="[BASE_VENDAS].[Data]" caption="Data" attribute="1" time="1" defaultMemberUniqueName="[BASE_VENDAS].[Data].[All]" allUniqueName="[BASE_VENDAS].[Data].[All]" dimensionUniqueName="[BASE_VENDAS]" displayFolder="" count="0" memberValueDatatype="7" unbalanced="0"/>
    <cacheHierarchy uniqueName="[BASE_VENDAS].[Cliente]" caption="Cliente" attribute="1" defaultMemberUniqueName="[BASE_VENDAS].[Cliente].[All]" allUniqueName="[BASE_VENDAS].[Cliente].[All]" dimensionUniqueName="[BASE_VENDAS]" displayFolder="" count="0" memberValueDatatype="130" unbalanced="0"/>
    <cacheHierarchy uniqueName="[BASE_VENDAS].[Unidade]" caption="Unidade" attribute="1" defaultMemberUniqueName="[BASE_VENDAS].[Unidade].[All]" allUniqueName="[BASE_VENDAS].[Unidade].[All]" dimensionUniqueName="[BASE_VENDAS]" displayFolder="" count="0" memberValueDatatype="130" unbalanced="0"/>
    <cacheHierarchy uniqueName="[BASE_VENDAS].[Serviço]" caption="Serviço" attribute="1" defaultMemberUniqueName="[BASE_VENDAS].[Serviço].[All]" allUniqueName="[BASE_VENDAS].[Serviço].[All]" dimensionUniqueName="[BASE_VENDAS]" displayFolder="" count="0" memberValueDatatype="130" unbalanced="0"/>
    <cacheHierarchy uniqueName="[BASE_VENDAS].[Entrada]" caption="Entrada" attribute="1" defaultMemberUniqueName="[BASE_VENDAS].[Entrada].[All]" allUniqueName="[BASE_VENDAS].[Entrada].[All]" dimensionUniqueName="[BASE_VENDAS]" displayFolder="" count="0" memberValueDatatype="130" unbalanced="0"/>
    <cacheHierarchy uniqueName="[BASE_VENDAS].[Reativação?]" caption="Reativação?" attribute="1" defaultMemberUniqueName="[BASE_VENDAS].[Reativação?].[All]" allUniqueName="[BASE_VENDAS].[Reativação?].[All]" dimensionUniqueName="[BASE_VENDAS]" displayFolder="" count="0" memberValueDatatype="130" unbalanced="0"/>
    <cacheHierarchy uniqueName="[BASE_VENDAS].[ICP]" caption="ICP" attribute="1" defaultMemberUniqueName="[BASE_VENDAS].[ICP].[All]" allUniqueName="[BASE_VENDAS].[ICP].[All]" dimensionUniqueName="[BASE_VENDAS]" displayFolder="" count="2" memberValueDatatype="130" unbalanced="0">
      <fieldsUsage count="2">
        <fieldUsage x="-1"/>
        <fieldUsage x="4"/>
      </fieldsUsage>
    </cacheHierarchy>
    <cacheHierarchy uniqueName="[BASE_VENDAS].[Tipo]" caption="Tipo" attribute="1" defaultMemberUniqueName="[BASE_VENDAS].[Tipo].[All]" allUniqueName="[BASE_VENDAS].[Tipo].[All]" dimensionUniqueName="[BASE_VENDAS]" displayFolder="" count="0" memberValueDatatype="130" unbalanced="0"/>
    <cacheHierarchy uniqueName="[BASE_VENDAS].[Valor]" caption="Valor" attribute="1" defaultMemberUniqueName="[BASE_VENDAS].[Valor].[All]" allUniqueName="[BASE_VENDAS].[Valor].[All]" dimensionUniqueName="[BASE_VENDAS]" displayFolder="" count="0" memberValueDatatype="5" unbalanced="0"/>
    <cacheHierarchy uniqueName="[BASE_VENDAS].[Data (Mês)]" caption="Data (Mês)" attribute="1" defaultMemberUniqueName="[BASE_VENDAS].[Data (Mês)].[All]" allUniqueName="[BASE_VENDAS].[Data (Mês)].[All]" dimensionUniqueName="[BASE_VENDAS]" displayFolder="" count="2" memberValueDatatype="130" unbalanced="0">
      <fieldsUsage count="2">
        <fieldUsage x="-1"/>
        <fieldUsage x="3"/>
      </fieldsUsage>
    </cacheHierarchy>
    <cacheHierarchy uniqueName="[BASE_VENDAS].[MÊS VENDA]" caption="MÊS VENDA" attribute="1" defaultMemberUniqueName="[BASE_VENDAS].[MÊS VENDA].[All]" allUniqueName="[BASE_VENDAS].[MÊS VENDA].[All]" dimensionUniqueName="[BASE_VENDAS]" displayFolder="" count="0" memberValueDatatype="130" unbalanced="0"/>
    <cacheHierarchy uniqueName="[BASE_VENDAS].[ORIGEM]" caption="ORIGEM" attribute="1" defaultMemberUniqueName="[BASE_VENDAS].[ORIGEM].[All]" allUniqueName="[BASE_VENDAS].[ORIGEM].[All]" dimensionUniqueName="[BASE_VENDAS]" displayFolder="" count="0" memberValueDatatype="130" unbalanced="0"/>
    <cacheHierarchy uniqueName="[BASE_COM].[Data (Índice de Mês)]" caption="Data (Índice de Mês)" attribute="1" defaultMemberUniqueName="[BASE_COM].[Data (Índice de Mês)].[All]" allUniqueName="[BASE_COM].[Data (Índice de Mês)].[All]" dimensionUniqueName="[BASE_COM]" displayFolder="" count="0" memberValueDatatype="20" unbalanced="0" hidden="1"/>
    <cacheHierarchy uniqueName="[BASE_COM].[Data de envio (Índice de Mês)]" caption="Data de envio (Índice de Mês)" attribute="1" defaultMemberUniqueName="[BASE_COM].[Data de envio (Índice de Mês)].[All]" allUniqueName="[BASE_COM].[Data de envio (Índice de Mês)].[All]" dimensionUniqueName="[BASE_COM]" displayFolder="" count="0" memberValueDatatype="20" unbalanced="0" hidden="1"/>
    <cacheHierarchy uniqueName="[BASE_VENDAS].[Data (Índice de Mês)]" caption="Data (Índice de Mês)" attribute="1" defaultMemberUniqueName="[BASE_VENDAS].[Data (Índice de Mês)].[All]" allUniqueName="[BASE_VENDAS].[Data (Índice de Mês)].[All]" dimensionUniqueName="[BASE_VENDAS]" displayFolder="" count="0" memberValueDatatype="20" unbalanced="0" hidden="1"/>
    <cacheHierarchy uniqueName="[Measures].[__XL_Count BASE_COM]" caption="__XL_Count BASE_COM" measure="1" displayFolder="" measureGroup="BASE_COM" count="0" hidden="1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  <cacheHierarchy uniqueName="[Measures].[Contagem de Proposta Enviada ?]" caption="Contagem de Proposta Enviada ?" measure="1" displayFolder="" measureGroup="BASE_COM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Valor Proposta]" caption="Contagem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Semana Envio]" caption="Contagem de Semana Envio" measure="1" displayFolder="" measureGroup="BASE_COM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Data de envio (Mês)]" caption="Contagem de Data de envio (Mês)" measure="1" displayFolder="" measureGroup="BASE_COM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Valor Proposta]" caption="Soma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]" caption="Soma de Valor" measure="1" displayFolder="" measureGroup="BASE_VENDA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BASE_COM" uniqueName="[BASE_COM]" caption="BASE_COM"/>
    <dimension name="BASE_VENDAS" uniqueName="[BASE_VENDAS]" caption="BASE_VENDAS"/>
    <dimension measure="1" name="Measures" uniqueName="[Measures]" caption="Measures"/>
  </dimensions>
  <measureGroups count="2">
    <measureGroup name="BASE_COM" caption="BASE_COM"/>
    <measureGroup name="BASE_VENDAS" caption="BASE_VENDA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" refreshedDate="46167.788868750002" backgroundQuery="1" createdVersion="8" refreshedVersion="8" minRefreshableVersion="3" recordCount="0" supportSubquery="1" supportAdvancedDrill="1" xr:uid="{43F1CF3E-F137-4862-82B0-E717CC4940BC}">
  <cacheSource type="external" connectionId="1"/>
  <cacheFields count="8">
    <cacheField name="[BASE_COM].[Classificação].[Classificação]" caption="Classificação" numFmtId="0" hierarchy="6" level="1">
      <sharedItems count="3">
        <s v="A"/>
        <s v="B"/>
        <s v="C"/>
      </sharedItems>
    </cacheField>
    <cacheField name="[BASE_COM].[Data de envio (Mês)].[Data de envio (Mês)]" caption="Data de envio (Mês)" numFmtId="0" hierarchy="19" level="1">
      <sharedItems containsSemiMixedTypes="0" containsNonDate="0" containsString="0"/>
    </cacheField>
    <cacheField name="[Measures].[Contagem de Proposta Enviada ?]" caption="Contagem de Proposta Enviada ?" numFmtId="0" hierarchy="38" level="32767"/>
    <cacheField name="[BASE_VENDAS].[Data (Mês)].[Data (Mês)]" caption="Data (Mês)" numFmtId="0" hierarchy="29" level="1">
      <sharedItems containsSemiMixedTypes="0" containsNonDate="0" containsString="0"/>
    </cacheField>
    <cacheField name="[BASE_VENDAS].[ICP].[ICP]" caption="ICP" numFmtId="0" hierarchy="26" level="1">
      <sharedItems containsSemiMixedTypes="0" containsNonDate="0" containsString="0"/>
    </cacheField>
    <cacheField name="[BASE_COM].[Data (Mês)].[Data (Mês)]" caption="Data (Mês)" numFmtId="0" hierarchy="18" level="1">
      <sharedItems containsSemiMixedTypes="0" containsNonDate="0" containsString="0"/>
    </cacheField>
    <cacheField name="[BASE_COM].[TIPO].[TIPO]" caption="TIPO" numFmtId="0" hierarchy="11" level="1">
      <sharedItems containsSemiMixedTypes="0" containsNonDate="0" containsString="0"/>
    </cacheField>
    <cacheField name="[BASE_COM].[Proposta Enviada ?].[Proposta Enviada ?]" caption="Proposta Enviada ?" numFmtId="0" hierarchy="9" level="1">
      <sharedItems containsSemiMixedTypes="0" containsNonDate="0" containsString="0"/>
    </cacheField>
  </cacheFields>
  <cacheHierarchies count="44">
    <cacheHierarchy uniqueName="[BASE_COM].[Data]" caption="Data" attribute="1" time="1" defaultMemberUniqueName="[BASE_COM].[Data].[All]" allUniqueName="[BASE_COM].[Data].[All]" dimensionUniqueName="[BASE_COM]" displayFolder="" count="0" memberValueDatatype="7" unbalanced="0"/>
    <cacheHierarchy uniqueName="[BASE_COM].[Nome]" caption="Nome" attribute="1" defaultMemberUniqueName="[BASE_COM].[Nome].[All]" allUniqueName="[BASE_COM].[Nome].[All]" dimensionUniqueName="[BASE_COM]" displayFolder="" count="0" memberValueDatatype="130" unbalanced="0"/>
    <cacheHierarchy uniqueName="[BASE_COM].[Cliente]" caption="Cliente" attribute="1" defaultMemberUniqueName="[BASE_COM].[Cliente].[All]" allUniqueName="[BASE_COM].[Cliente].[All]" dimensionUniqueName="[BASE_COM]" displayFolder="" count="0" memberValueDatatype="130" unbalanced="0"/>
    <cacheHierarchy uniqueName="[BASE_COM].[Unidade]" caption="Unidade" attribute="1" defaultMemberUniqueName="[BASE_COM].[Unidade].[All]" allUniqueName="[BASE_COM].[Unidade].[All]" dimensionUniqueName="[BASE_COM]" displayFolder="" count="0" memberValueDatatype="130" unbalanced="0"/>
    <cacheHierarchy uniqueName="[BASE_COM].[Fonte]" caption="Fonte" attribute="1" defaultMemberUniqueName="[BASE_COM].[Fonte].[All]" allUniqueName="[BASE_COM].[Fonte].[All]" dimensionUniqueName="[BASE_COM]" displayFolder="" count="0" memberValueDatatype="130" unbalanced="0"/>
    <cacheHierarchy uniqueName="[BASE_COM].[Campanha]" caption="Campanha" attribute="1" defaultMemberUniqueName="[BASE_COM].[Campanha].[All]" allUniqueName="[BASE_COM].[Campanha].[All]" dimensionUniqueName="[BASE_COM]" displayFolder="" count="0" memberValueDatatype="130" unbalanced="0"/>
    <cacheHierarchy uniqueName="[BASE_COM].[Classificação]" caption="Classificação" attribute="1" defaultMemberUniqueName="[BASE_COM].[Classificação].[All]" allUniqueName="[BASE_COM].[Classificação].[All]" dimensionUniqueName="[BASE_COM]" displayFolder="" count="2" memberValueDatatype="130" unbalanced="0">
      <fieldsUsage count="2">
        <fieldUsage x="-1"/>
        <fieldUsage x="0"/>
      </fieldsUsage>
    </cacheHierarchy>
    <cacheHierarchy uniqueName="[BASE_COM].[Entrada]" caption="Entrada" attribute="1" defaultMemberUniqueName="[BASE_COM].[Entrada].[All]" allUniqueName="[BASE_COM].[Entrada].[All]" dimensionUniqueName="[BASE_COM]" displayFolder="" count="0" memberValueDatatype="130" unbalanced="0"/>
    <cacheHierarchy uniqueName="[BASE_COM].[Serviço]" caption="Serviço" attribute="1" defaultMemberUniqueName="[BASE_COM].[Serviço].[All]" allUniqueName="[BASE_COM].[Serviço].[All]" dimensionUniqueName="[BASE_COM]" displayFolder="" count="0" memberValueDatatype="130" unbalanced="0"/>
    <cacheHierarchy uniqueName="[BASE_COM].[Proposta Enviada ?]" caption="Proposta Enviada ?" attribute="1" defaultMemberUniqueName="[BASE_COM].[Proposta Enviada ?].[All]" allUniqueName="[BASE_COM].[Proposta Enviada ?].[All]" dimensionUniqueName="[BASE_COM]" displayFolder="" count="2" memberValueDatatype="130" unbalanced="0">
      <fieldsUsage count="2">
        <fieldUsage x="-1"/>
        <fieldUsage x="7"/>
      </fieldsUsage>
    </cacheHierarchy>
    <cacheHierarchy uniqueName="[BASE_COM].[Valor Proposta]" caption="Valor Proposta" attribute="1" defaultMemberUniqueName="[BASE_COM].[Valor Proposta].[All]" allUniqueName="[BASE_COM].[Valor Proposta].[All]" dimensionUniqueName="[BASE_COM]" displayFolder="" count="0" memberValueDatatype="5" unbalanced="0"/>
    <cacheHierarchy uniqueName="[BASE_COM].[TIPO]" caption="TIPO" attribute="1" defaultMemberUniqueName="[BASE_COM].[TIPO].[All]" allUniqueName="[BASE_COM].[TIPO].[All]" dimensionUniqueName="[BASE_COM]" displayFolder="" count="2" memberValueDatatype="130" unbalanced="0">
      <fieldsUsage count="2">
        <fieldUsage x="-1"/>
        <fieldUsage x="6"/>
      </fieldsUsage>
    </cacheHierarchy>
    <cacheHierarchy uniqueName="[BASE_COM].[Data de envio]" caption="Data de envio" attribute="1" time="1" defaultMemberUniqueName="[BASE_COM].[Data de envio].[All]" allUniqueName="[BASE_COM].[Data de envio].[All]" dimensionUniqueName="[BASE_COM]" displayFolder="" count="0" memberValueDatatype="7" unbalanced="0"/>
    <cacheHierarchy uniqueName="[BASE_COM].[Mês]" caption="Mês" attribute="1" defaultMemberUniqueName="[BASE_COM].[Mês].[All]" allUniqueName="[BASE_COM].[Mês].[All]" dimensionUniqueName="[BASE_COM]" displayFolder="" count="0" memberValueDatatype="130" unbalanced="0"/>
    <cacheHierarchy uniqueName="[BASE_COM].[Semana Entrada]" caption="Semana Entrada" attribute="1" defaultMemberUniqueName="[BASE_COM].[Semana Entrada].[All]" allUniqueName="[BASE_COM].[Semana Entrada].[All]" dimensionUniqueName="[BASE_COM]" displayFolder="" count="0" memberValueDatatype="130" unbalanced="0"/>
    <cacheHierarchy uniqueName="[BASE_COM].[Semana Envio]" caption="Semana Envio" attribute="1" defaultMemberUniqueName="[BASE_COM].[Semana Envio].[All]" allUniqueName="[BASE_COM].[Semana Envio].[All]" dimensionUniqueName="[BASE_COM]" displayFolder="" count="0" memberValueDatatype="130" unbalanced="0"/>
    <cacheHierarchy uniqueName="[BASE_COM].[Data (Ano)]" caption="Data (Ano)" attribute="1" defaultMemberUniqueName="[BASE_COM].[Data (Ano)].[All]" allUniqueName="[BASE_COM].[Data (Ano)].[All]" dimensionUniqueName="[BASE_COM]" displayFolder="" count="0" memberValueDatatype="130" unbalanced="0"/>
    <cacheHierarchy uniqueName="[BASE_COM].[Data (Trimestre)]" caption="Data (Trimestre)" attribute="1" defaultMemberUniqueName="[BASE_COM].[Data (Trimestre)].[All]" allUniqueName="[BASE_COM].[Data (Trimestre)].[All]" dimensionUniqueName="[BASE_COM]" displayFolder="" count="0" memberValueDatatype="130" unbalanced="0"/>
    <cacheHierarchy uniqueName="[BASE_COM].[Data (Mês)]" caption="Data (Mês)" attribute="1" defaultMemberUniqueName="[BASE_COM].[Data (Mês)].[All]" allUniqueName="[BASE_COM].[Data (Mês)].[All]" dimensionUniqueName="[BASE_COM]" displayFolder="" count="2" memberValueDatatype="130" unbalanced="0">
      <fieldsUsage count="2">
        <fieldUsage x="-1"/>
        <fieldUsage x="5"/>
      </fieldsUsage>
    </cacheHierarchy>
    <cacheHierarchy uniqueName="[BASE_COM].[Data de envio (Mês)]" caption="Data de envio (Mês)" attribute="1" defaultMemberUniqueName="[BASE_COM].[Data de envio (Mês)].[All]" allUniqueName="[BASE_COM].[Data de envio (Mês)].[All]" dimensionUniqueName="[BASE_COM]" displayFolder="" count="2" memberValueDatatype="130" unbalanced="0">
      <fieldsUsage count="2">
        <fieldUsage x="-1"/>
        <fieldUsage x="1"/>
      </fieldsUsage>
    </cacheHierarchy>
    <cacheHierarchy uniqueName="[BASE_VENDAS].[Data]" caption="Data" attribute="1" time="1" defaultMemberUniqueName="[BASE_VENDAS].[Data].[All]" allUniqueName="[BASE_VENDAS].[Data].[All]" dimensionUniqueName="[BASE_VENDAS]" displayFolder="" count="0" memberValueDatatype="7" unbalanced="0"/>
    <cacheHierarchy uniqueName="[BASE_VENDAS].[Cliente]" caption="Cliente" attribute="1" defaultMemberUniqueName="[BASE_VENDAS].[Cliente].[All]" allUniqueName="[BASE_VENDAS].[Cliente].[All]" dimensionUniqueName="[BASE_VENDAS]" displayFolder="" count="0" memberValueDatatype="130" unbalanced="0"/>
    <cacheHierarchy uniqueName="[BASE_VENDAS].[Unidade]" caption="Unidade" attribute="1" defaultMemberUniqueName="[BASE_VENDAS].[Unidade].[All]" allUniqueName="[BASE_VENDAS].[Unidade].[All]" dimensionUniqueName="[BASE_VENDAS]" displayFolder="" count="0" memberValueDatatype="130" unbalanced="0"/>
    <cacheHierarchy uniqueName="[BASE_VENDAS].[Serviço]" caption="Serviço" attribute="1" defaultMemberUniqueName="[BASE_VENDAS].[Serviço].[All]" allUniqueName="[BASE_VENDAS].[Serviço].[All]" dimensionUniqueName="[BASE_VENDAS]" displayFolder="" count="0" memberValueDatatype="130" unbalanced="0"/>
    <cacheHierarchy uniqueName="[BASE_VENDAS].[Entrada]" caption="Entrada" attribute="1" defaultMemberUniqueName="[BASE_VENDAS].[Entrada].[All]" allUniqueName="[BASE_VENDAS].[Entrada].[All]" dimensionUniqueName="[BASE_VENDAS]" displayFolder="" count="0" memberValueDatatype="130" unbalanced="0"/>
    <cacheHierarchy uniqueName="[BASE_VENDAS].[Reativação?]" caption="Reativação?" attribute="1" defaultMemberUniqueName="[BASE_VENDAS].[Reativação?].[All]" allUniqueName="[BASE_VENDAS].[Reativação?].[All]" dimensionUniqueName="[BASE_VENDAS]" displayFolder="" count="0" memberValueDatatype="130" unbalanced="0"/>
    <cacheHierarchy uniqueName="[BASE_VENDAS].[ICP]" caption="ICP" attribute="1" defaultMemberUniqueName="[BASE_VENDAS].[ICP].[All]" allUniqueName="[BASE_VENDAS].[ICP].[All]" dimensionUniqueName="[BASE_VENDAS]" displayFolder="" count="2" memberValueDatatype="130" unbalanced="0">
      <fieldsUsage count="2">
        <fieldUsage x="-1"/>
        <fieldUsage x="4"/>
      </fieldsUsage>
    </cacheHierarchy>
    <cacheHierarchy uniqueName="[BASE_VENDAS].[Tipo]" caption="Tipo" attribute="1" defaultMemberUniqueName="[BASE_VENDAS].[Tipo].[All]" allUniqueName="[BASE_VENDAS].[Tipo].[All]" dimensionUniqueName="[BASE_VENDAS]" displayFolder="" count="0" memberValueDatatype="130" unbalanced="0"/>
    <cacheHierarchy uniqueName="[BASE_VENDAS].[Valor]" caption="Valor" attribute="1" defaultMemberUniqueName="[BASE_VENDAS].[Valor].[All]" allUniqueName="[BASE_VENDAS].[Valor].[All]" dimensionUniqueName="[BASE_VENDAS]" displayFolder="" count="0" memberValueDatatype="5" unbalanced="0"/>
    <cacheHierarchy uniqueName="[BASE_VENDAS].[Data (Mês)]" caption="Data (Mês)" attribute="1" defaultMemberUniqueName="[BASE_VENDAS].[Data (Mês)].[All]" allUniqueName="[BASE_VENDAS].[Data (Mês)].[All]" dimensionUniqueName="[BASE_VENDAS]" displayFolder="" count="2" memberValueDatatype="130" unbalanced="0">
      <fieldsUsage count="2">
        <fieldUsage x="-1"/>
        <fieldUsage x="3"/>
      </fieldsUsage>
    </cacheHierarchy>
    <cacheHierarchy uniqueName="[BASE_VENDAS].[MÊS VENDA]" caption="MÊS VENDA" attribute="1" defaultMemberUniqueName="[BASE_VENDAS].[MÊS VENDA].[All]" allUniqueName="[BASE_VENDAS].[MÊS VENDA].[All]" dimensionUniqueName="[BASE_VENDAS]" displayFolder="" count="0" memberValueDatatype="130" unbalanced="0"/>
    <cacheHierarchy uniqueName="[BASE_VENDAS].[ORIGEM]" caption="ORIGEM" attribute="1" defaultMemberUniqueName="[BASE_VENDAS].[ORIGEM].[All]" allUniqueName="[BASE_VENDAS].[ORIGEM].[All]" dimensionUniqueName="[BASE_VENDAS]" displayFolder="" count="0" memberValueDatatype="130" unbalanced="0"/>
    <cacheHierarchy uniqueName="[BASE_COM].[Data (Índice de Mês)]" caption="Data (Índice de Mês)" attribute="1" defaultMemberUniqueName="[BASE_COM].[Data (Índice de Mês)].[All]" allUniqueName="[BASE_COM].[Data (Índice de Mês)].[All]" dimensionUniqueName="[BASE_COM]" displayFolder="" count="0" memberValueDatatype="20" unbalanced="0" hidden="1"/>
    <cacheHierarchy uniqueName="[BASE_COM].[Data de envio (Índice de Mês)]" caption="Data de envio (Índice de Mês)" attribute="1" defaultMemberUniqueName="[BASE_COM].[Data de envio (Índice de Mês)].[All]" allUniqueName="[BASE_COM].[Data de envio (Índice de Mês)].[All]" dimensionUniqueName="[BASE_COM]" displayFolder="" count="0" memberValueDatatype="20" unbalanced="0" hidden="1"/>
    <cacheHierarchy uniqueName="[BASE_VENDAS].[Data (Índice de Mês)]" caption="Data (Índice de Mês)" attribute="1" defaultMemberUniqueName="[BASE_VENDAS].[Data (Índice de Mês)].[All]" allUniqueName="[BASE_VENDAS].[Data (Índice de Mês)].[All]" dimensionUniqueName="[BASE_VENDAS]" displayFolder="" count="0" memberValueDatatype="20" unbalanced="0" hidden="1"/>
    <cacheHierarchy uniqueName="[Measures].[__XL_Count BASE_COM]" caption="__XL_Count BASE_COM" measure="1" displayFolder="" measureGroup="BASE_COM" count="0" hidden="1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  <cacheHierarchy uniqueName="[Measures].[Contagem de Proposta Enviada ?]" caption="Contagem de Proposta Enviada ?" measure="1" displayFolder="" measureGroup="BASE_COM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Valor Proposta]" caption="Contagem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Semana Envio]" caption="Contagem de Semana Envio" measure="1" displayFolder="" measureGroup="BASE_COM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Data de envio (Mês)]" caption="Contagem de Data de envio (Mês)" measure="1" displayFolder="" measureGroup="BASE_COM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Valor Proposta]" caption="Soma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]" caption="Soma de Valor" measure="1" displayFolder="" measureGroup="BASE_VENDA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BASE_COM" uniqueName="[BASE_COM]" caption="BASE_COM"/>
    <dimension name="BASE_VENDAS" uniqueName="[BASE_VENDAS]" caption="BASE_VENDAS"/>
    <dimension measure="1" name="Measures" uniqueName="[Measures]" caption="Measures"/>
  </dimensions>
  <measureGroups count="2">
    <measureGroup name="BASE_COM" caption="BASE_COM"/>
    <measureGroup name="BASE_VENDAS" caption="BASE_VENDA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" refreshedDate="46167.788869675926" backgroundQuery="1" createdVersion="8" refreshedVersion="8" minRefreshableVersion="3" recordCount="0" supportSubquery="1" supportAdvancedDrill="1" xr:uid="{E80B8F63-AE5C-4D84-B3D4-A662C1A83FE7}">
  <cacheSource type="external" connectionId="1"/>
  <cacheFields count="6">
    <cacheField name="[BASE_COM].[Data de envio (Mês)].[Data de envio (Mês)]" caption="Data de envio (Mês)" numFmtId="0" hierarchy="19" level="1">
      <sharedItems count="5">
        <s v="jan"/>
        <s v="fev"/>
        <s v="mar"/>
        <s v="abr"/>
        <s v="mai"/>
      </sharedItems>
    </cacheField>
    <cacheField name="[Measures].[Soma de Valor Proposta]" caption="Soma de Valor Proposta" numFmtId="0" hierarchy="42" level="32767"/>
    <cacheField name="[BASE_COM].[Data (Mês)].[Data (Mês)]" caption="Data (Mês)" numFmtId="0" hierarchy="18" level="1">
      <sharedItems containsSemiMixedTypes="0" containsNonDate="0" containsString="0"/>
    </cacheField>
    <cacheField name="[BASE_COM].[Classificação].[Classificação]" caption="Classificação" numFmtId="0" hierarchy="6" level="1">
      <sharedItems containsSemiMixedTypes="0" containsNonDate="0" containsString="0"/>
    </cacheField>
    <cacheField name="[BASE_COM].[TIPO].[TIPO]" caption="TIPO" numFmtId="0" hierarchy="11" level="1">
      <sharedItems containsSemiMixedTypes="0" containsNonDate="0" containsString="0"/>
    </cacheField>
    <cacheField name="[BASE_COM].[Proposta Enviada ?].[Proposta Enviada ?]" caption="Proposta Enviada ?" numFmtId="0" hierarchy="9" level="1">
      <sharedItems containsSemiMixedTypes="0" containsNonDate="0" containsString="0"/>
    </cacheField>
  </cacheFields>
  <cacheHierarchies count="44">
    <cacheHierarchy uniqueName="[BASE_COM].[Data]" caption="Data" attribute="1" time="1" defaultMemberUniqueName="[BASE_COM].[Data].[All]" allUniqueName="[BASE_COM].[Data].[All]" dimensionUniqueName="[BASE_COM]" displayFolder="" count="0" memberValueDatatype="7" unbalanced="0"/>
    <cacheHierarchy uniqueName="[BASE_COM].[Nome]" caption="Nome" attribute="1" defaultMemberUniqueName="[BASE_COM].[Nome].[All]" allUniqueName="[BASE_COM].[Nome].[All]" dimensionUniqueName="[BASE_COM]" displayFolder="" count="0" memberValueDatatype="130" unbalanced="0"/>
    <cacheHierarchy uniqueName="[BASE_COM].[Cliente]" caption="Cliente" attribute="1" defaultMemberUniqueName="[BASE_COM].[Cliente].[All]" allUniqueName="[BASE_COM].[Cliente].[All]" dimensionUniqueName="[BASE_COM]" displayFolder="" count="0" memberValueDatatype="130" unbalanced="0"/>
    <cacheHierarchy uniqueName="[BASE_COM].[Unidade]" caption="Unidade" attribute="1" defaultMemberUniqueName="[BASE_COM].[Unidade].[All]" allUniqueName="[BASE_COM].[Unidade].[All]" dimensionUniqueName="[BASE_COM]" displayFolder="" count="0" memberValueDatatype="130" unbalanced="0"/>
    <cacheHierarchy uniqueName="[BASE_COM].[Fonte]" caption="Fonte" attribute="1" defaultMemberUniqueName="[BASE_COM].[Fonte].[All]" allUniqueName="[BASE_COM].[Fonte].[All]" dimensionUniqueName="[BASE_COM]" displayFolder="" count="0" memberValueDatatype="130" unbalanced="0"/>
    <cacheHierarchy uniqueName="[BASE_COM].[Campanha]" caption="Campanha" attribute="1" defaultMemberUniqueName="[BASE_COM].[Campanha].[All]" allUniqueName="[BASE_COM].[Campanha].[All]" dimensionUniqueName="[BASE_COM]" displayFolder="" count="0" memberValueDatatype="130" unbalanced="0"/>
    <cacheHierarchy uniqueName="[BASE_COM].[Classificação]" caption="Classificação" attribute="1" defaultMemberUniqueName="[BASE_COM].[Classificação].[All]" allUniqueName="[BASE_COM].[Classificação].[All]" dimensionUniqueName="[BASE_COM]" displayFolder="" count="2" memberValueDatatype="130" unbalanced="0">
      <fieldsUsage count="2">
        <fieldUsage x="-1"/>
        <fieldUsage x="3"/>
      </fieldsUsage>
    </cacheHierarchy>
    <cacheHierarchy uniqueName="[BASE_COM].[Entrada]" caption="Entrada" attribute="1" defaultMemberUniqueName="[BASE_COM].[Entrada].[All]" allUniqueName="[BASE_COM].[Entrada].[All]" dimensionUniqueName="[BASE_COM]" displayFolder="" count="0" memberValueDatatype="130" unbalanced="0"/>
    <cacheHierarchy uniqueName="[BASE_COM].[Serviço]" caption="Serviço" attribute="1" defaultMemberUniqueName="[BASE_COM].[Serviço].[All]" allUniqueName="[BASE_COM].[Serviço].[All]" dimensionUniqueName="[BASE_COM]" displayFolder="" count="0" memberValueDatatype="130" unbalanced="0"/>
    <cacheHierarchy uniqueName="[BASE_COM].[Proposta Enviada ?]" caption="Proposta Enviada ?" attribute="1" defaultMemberUniqueName="[BASE_COM].[Proposta Enviada ?].[All]" allUniqueName="[BASE_COM].[Proposta Enviada ?].[All]" dimensionUniqueName="[BASE_COM]" displayFolder="" count="2" memberValueDatatype="130" unbalanced="0">
      <fieldsUsage count="2">
        <fieldUsage x="-1"/>
        <fieldUsage x="5"/>
      </fieldsUsage>
    </cacheHierarchy>
    <cacheHierarchy uniqueName="[BASE_COM].[Valor Proposta]" caption="Valor Proposta" attribute="1" defaultMemberUniqueName="[BASE_COM].[Valor Proposta].[All]" allUniqueName="[BASE_COM].[Valor Proposta].[All]" dimensionUniqueName="[BASE_COM]" displayFolder="" count="0" memberValueDatatype="5" unbalanced="0"/>
    <cacheHierarchy uniqueName="[BASE_COM].[TIPO]" caption="TIPO" attribute="1" defaultMemberUniqueName="[BASE_COM].[TIPO].[All]" allUniqueName="[BASE_COM].[TIPO].[All]" dimensionUniqueName="[BASE_COM]" displayFolder="" count="2" memberValueDatatype="130" unbalanced="0">
      <fieldsUsage count="2">
        <fieldUsage x="-1"/>
        <fieldUsage x="4"/>
      </fieldsUsage>
    </cacheHierarchy>
    <cacheHierarchy uniqueName="[BASE_COM].[Data de envio]" caption="Data de envio" attribute="1" time="1" defaultMemberUniqueName="[BASE_COM].[Data de envio].[All]" allUniqueName="[BASE_COM].[Data de envio].[All]" dimensionUniqueName="[BASE_COM]" displayFolder="" count="0" memberValueDatatype="7" unbalanced="0"/>
    <cacheHierarchy uniqueName="[BASE_COM].[Mês]" caption="Mês" attribute="1" defaultMemberUniqueName="[BASE_COM].[Mês].[All]" allUniqueName="[BASE_COM].[Mês].[All]" dimensionUniqueName="[BASE_COM]" displayFolder="" count="0" memberValueDatatype="130" unbalanced="0"/>
    <cacheHierarchy uniqueName="[BASE_COM].[Semana Entrada]" caption="Semana Entrada" attribute="1" defaultMemberUniqueName="[BASE_COM].[Semana Entrada].[All]" allUniqueName="[BASE_COM].[Semana Entrada].[All]" dimensionUniqueName="[BASE_COM]" displayFolder="" count="0" memberValueDatatype="130" unbalanced="0"/>
    <cacheHierarchy uniqueName="[BASE_COM].[Semana Envio]" caption="Semana Envio" attribute="1" defaultMemberUniqueName="[BASE_COM].[Semana Envio].[All]" allUniqueName="[BASE_COM].[Semana Envio].[All]" dimensionUniqueName="[BASE_COM]" displayFolder="" count="0" memberValueDatatype="130" unbalanced="0"/>
    <cacheHierarchy uniqueName="[BASE_COM].[Data (Ano)]" caption="Data (Ano)" attribute="1" defaultMemberUniqueName="[BASE_COM].[Data (Ano)].[All]" allUniqueName="[BASE_COM].[Data (Ano)].[All]" dimensionUniqueName="[BASE_COM]" displayFolder="" count="0" memberValueDatatype="130" unbalanced="0"/>
    <cacheHierarchy uniqueName="[BASE_COM].[Data (Trimestre)]" caption="Data (Trimestre)" attribute="1" defaultMemberUniqueName="[BASE_COM].[Data (Trimestre)].[All]" allUniqueName="[BASE_COM].[Data (Trimestre)].[All]" dimensionUniqueName="[BASE_COM]" displayFolder="" count="0" memberValueDatatype="130" unbalanced="0"/>
    <cacheHierarchy uniqueName="[BASE_COM].[Data (Mês)]" caption="Data (Mês)" attribute="1" defaultMemberUniqueName="[BASE_COM].[Data (Mês)].[All]" allUniqueName="[BASE_COM].[Data (Mês)].[All]" dimensionUniqueName="[BASE_COM]" displayFolder="" count="2" memberValueDatatype="130" unbalanced="0">
      <fieldsUsage count="2">
        <fieldUsage x="-1"/>
        <fieldUsage x="2"/>
      </fieldsUsage>
    </cacheHierarchy>
    <cacheHierarchy uniqueName="[BASE_COM].[Data de envio (Mês)]" caption="Data de envio (Mês)" attribute="1" defaultMemberUniqueName="[BASE_COM].[Data de envio (Mês)].[All]" allUniqueName="[BASE_COM].[Data de envio (Mês)].[All]" dimensionUniqueName="[BASE_COM]" displayFolder="" count="2" memberValueDatatype="130" unbalanced="0">
      <fieldsUsage count="2">
        <fieldUsage x="-1"/>
        <fieldUsage x="0"/>
      </fieldsUsage>
    </cacheHierarchy>
    <cacheHierarchy uniqueName="[BASE_VENDAS].[Data]" caption="Data" attribute="1" time="1" defaultMemberUniqueName="[BASE_VENDAS].[Data].[All]" allUniqueName="[BASE_VENDAS].[Data].[All]" dimensionUniqueName="[BASE_VENDAS]" displayFolder="" count="0" memberValueDatatype="7" unbalanced="0"/>
    <cacheHierarchy uniqueName="[BASE_VENDAS].[Cliente]" caption="Cliente" attribute="1" defaultMemberUniqueName="[BASE_VENDAS].[Cliente].[All]" allUniqueName="[BASE_VENDAS].[Cliente].[All]" dimensionUniqueName="[BASE_VENDAS]" displayFolder="" count="0" memberValueDatatype="130" unbalanced="0"/>
    <cacheHierarchy uniqueName="[BASE_VENDAS].[Unidade]" caption="Unidade" attribute="1" defaultMemberUniqueName="[BASE_VENDAS].[Unidade].[All]" allUniqueName="[BASE_VENDAS].[Unidade].[All]" dimensionUniqueName="[BASE_VENDAS]" displayFolder="" count="0" memberValueDatatype="130" unbalanced="0"/>
    <cacheHierarchy uniqueName="[BASE_VENDAS].[Serviço]" caption="Serviço" attribute="1" defaultMemberUniqueName="[BASE_VENDAS].[Serviço].[All]" allUniqueName="[BASE_VENDAS].[Serviço].[All]" dimensionUniqueName="[BASE_VENDAS]" displayFolder="" count="0" memberValueDatatype="130" unbalanced="0"/>
    <cacheHierarchy uniqueName="[BASE_VENDAS].[Entrada]" caption="Entrada" attribute="1" defaultMemberUniqueName="[BASE_VENDAS].[Entrada].[All]" allUniqueName="[BASE_VENDAS].[Entrada].[All]" dimensionUniqueName="[BASE_VENDAS]" displayFolder="" count="0" memberValueDatatype="130" unbalanced="0"/>
    <cacheHierarchy uniqueName="[BASE_VENDAS].[Reativação?]" caption="Reativação?" attribute="1" defaultMemberUniqueName="[BASE_VENDAS].[Reativação?].[All]" allUniqueName="[BASE_VENDAS].[Reativação?].[All]" dimensionUniqueName="[BASE_VENDAS]" displayFolder="" count="0" memberValueDatatype="130" unbalanced="0"/>
    <cacheHierarchy uniqueName="[BASE_VENDAS].[ICP]" caption="ICP" attribute="1" defaultMemberUniqueName="[BASE_VENDAS].[ICP].[All]" allUniqueName="[BASE_VENDAS].[ICP].[All]" dimensionUniqueName="[BASE_VENDAS]" displayFolder="" count="0" memberValueDatatype="130" unbalanced="0"/>
    <cacheHierarchy uniqueName="[BASE_VENDAS].[Tipo]" caption="Tipo" attribute="1" defaultMemberUniqueName="[BASE_VENDAS].[Tipo].[All]" allUniqueName="[BASE_VENDAS].[Tipo].[All]" dimensionUniqueName="[BASE_VENDAS]" displayFolder="" count="0" memberValueDatatype="130" unbalanced="0"/>
    <cacheHierarchy uniqueName="[BASE_VENDAS].[Valor]" caption="Valor" attribute="1" defaultMemberUniqueName="[BASE_VENDAS].[Valor].[All]" allUniqueName="[BASE_VENDAS].[Valor].[All]" dimensionUniqueName="[BASE_VENDAS]" displayFolder="" count="0" memberValueDatatype="5" unbalanced="0"/>
    <cacheHierarchy uniqueName="[BASE_VENDAS].[Data (Mês)]" caption="Data (Mês)" attribute="1" defaultMemberUniqueName="[BASE_VENDAS].[Data (Mês)].[All]" allUniqueName="[BASE_VENDAS].[Data (Mês)].[All]" dimensionUniqueName="[BASE_VENDAS]" displayFolder="" count="0" memberValueDatatype="130" unbalanced="0"/>
    <cacheHierarchy uniqueName="[BASE_VENDAS].[MÊS VENDA]" caption="MÊS VENDA" attribute="1" defaultMemberUniqueName="[BASE_VENDAS].[MÊS VENDA].[All]" allUniqueName="[BASE_VENDAS].[MÊS VENDA].[All]" dimensionUniqueName="[BASE_VENDAS]" displayFolder="" count="0" memberValueDatatype="130" unbalanced="0"/>
    <cacheHierarchy uniqueName="[BASE_VENDAS].[ORIGEM]" caption="ORIGEM" attribute="1" defaultMemberUniqueName="[BASE_VENDAS].[ORIGEM].[All]" allUniqueName="[BASE_VENDAS].[ORIGEM].[All]" dimensionUniqueName="[BASE_VENDAS]" displayFolder="" count="0" memberValueDatatype="130" unbalanced="0"/>
    <cacheHierarchy uniqueName="[BASE_COM].[Data (Índice de Mês)]" caption="Data (Índice de Mês)" attribute="1" defaultMemberUniqueName="[BASE_COM].[Data (Índice de Mês)].[All]" allUniqueName="[BASE_COM].[Data (Índice de Mês)].[All]" dimensionUniqueName="[BASE_COM]" displayFolder="" count="0" memberValueDatatype="20" unbalanced="0" hidden="1"/>
    <cacheHierarchy uniqueName="[BASE_COM].[Data de envio (Índice de Mês)]" caption="Data de envio (Índice de Mês)" attribute="1" defaultMemberUniqueName="[BASE_COM].[Data de envio (Índice de Mês)].[All]" allUniqueName="[BASE_COM].[Data de envio (Índice de Mês)].[All]" dimensionUniqueName="[BASE_COM]" displayFolder="" count="0" memberValueDatatype="20" unbalanced="0" hidden="1"/>
    <cacheHierarchy uniqueName="[BASE_VENDAS].[Data (Índice de Mês)]" caption="Data (Índice de Mês)" attribute="1" defaultMemberUniqueName="[BASE_VENDAS].[Data (Índice de Mês)].[All]" allUniqueName="[BASE_VENDAS].[Data (Índice de Mês)].[All]" dimensionUniqueName="[BASE_VENDAS]" displayFolder="" count="0" memberValueDatatype="20" unbalanced="0" hidden="1"/>
    <cacheHierarchy uniqueName="[Measures].[__XL_Count BASE_COM]" caption="__XL_Count BASE_COM" measure="1" displayFolder="" measureGroup="BASE_COM" count="0" hidden="1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  <cacheHierarchy uniqueName="[Measures].[Contagem de Proposta Enviada ?]" caption="Contagem de Proposta Enviada ?" measure="1" displayFolder="" measureGroup="BASE_CO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Valor Proposta]" caption="Contagem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Semana Envio]" caption="Contagem de Semana Envio" measure="1" displayFolder="" measureGroup="BASE_COM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Data de envio (Mês)]" caption="Contagem de Data de envio (Mês)" measure="1" displayFolder="" measureGroup="BASE_COM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Valor Proposta]" caption="Soma de Valor Proposta" measure="1" displayFolder="" measureGroup="BASE_COM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]" caption="Soma de Valor" measure="1" displayFolder="" measureGroup="BASE_VENDA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BASE_COM" uniqueName="[BASE_COM]" caption="BASE_COM"/>
    <dimension name="BASE_VENDAS" uniqueName="[BASE_VENDAS]" caption="BASE_VENDAS"/>
    <dimension measure="1" name="Measures" uniqueName="[Measures]" caption="Measures"/>
  </dimensions>
  <measureGroups count="2">
    <measureGroup name="BASE_COM" caption="BASE_COM"/>
    <measureGroup name="BASE_VENDAS" caption="BASE_VENDA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" refreshedDate="46167.788870717595" backgroundQuery="1" createdVersion="8" refreshedVersion="8" minRefreshableVersion="3" recordCount="0" supportSubquery="1" supportAdvancedDrill="1" xr:uid="{04CD0F71-54FF-4D3C-97CF-F41F170E087E}">
  <cacheSource type="external" connectionId="1"/>
  <cacheFields count="8">
    <cacheField name="[BASE_COM].[Proposta Enviada ?].[Proposta Enviada ?]" caption="Proposta Enviada ?" numFmtId="0" hierarchy="9" level="1">
      <sharedItems count="1">
        <s v="S"/>
      </sharedItems>
    </cacheField>
    <cacheField name="[Measures].[Contagem de Proposta Enviada ?]" caption="Contagem de Proposta Enviada ?" numFmtId="0" hierarchy="38" level="32767"/>
    <cacheField name="[BASE_VENDAS].[Data (Mês)].[Data (Mês)]" caption="Data (Mês)" numFmtId="0" hierarchy="29" level="1">
      <sharedItems containsSemiMixedTypes="0" containsNonDate="0" containsString="0"/>
    </cacheField>
    <cacheField name="[BASE_VENDAS].[ICP].[ICP]" caption="ICP" numFmtId="0" hierarchy="26" level="1">
      <sharedItems containsSemiMixedTypes="0" containsNonDate="0" containsString="0"/>
    </cacheField>
    <cacheField name="[BASE_COM].[Data (Mês)].[Data (Mês)]" caption="Data (Mês)" numFmtId="0" hierarchy="18" level="1">
      <sharedItems containsSemiMixedTypes="0" containsNonDate="0" containsString="0"/>
    </cacheField>
    <cacheField name="[BASE_COM].[Classificação].[Classificação]" caption="Classificação" numFmtId="0" hierarchy="6" level="1">
      <sharedItems containsSemiMixedTypes="0" containsNonDate="0" containsString="0"/>
    </cacheField>
    <cacheField name="[BASE_COM].[TIPO].[TIPO]" caption="TIPO" numFmtId="0" hierarchy="11" level="1">
      <sharedItems containsSemiMixedTypes="0" containsNonDate="0" containsString="0"/>
    </cacheField>
    <cacheField name="[BASE_COM].[Data de envio (Mês)].[Data de envio (Mês)]" caption="Data de envio (Mês)" numFmtId="0" hierarchy="19" level="1">
      <sharedItems containsSemiMixedTypes="0" containsNonDate="0" containsString="0"/>
    </cacheField>
  </cacheFields>
  <cacheHierarchies count="44">
    <cacheHierarchy uniqueName="[BASE_COM].[Data]" caption="Data" attribute="1" time="1" defaultMemberUniqueName="[BASE_COM].[Data].[All]" allUniqueName="[BASE_COM].[Data].[All]" dimensionUniqueName="[BASE_COM]" displayFolder="" count="0" memberValueDatatype="7" unbalanced="0"/>
    <cacheHierarchy uniqueName="[BASE_COM].[Nome]" caption="Nome" attribute="1" defaultMemberUniqueName="[BASE_COM].[Nome].[All]" allUniqueName="[BASE_COM].[Nome].[All]" dimensionUniqueName="[BASE_COM]" displayFolder="" count="0" memberValueDatatype="130" unbalanced="0"/>
    <cacheHierarchy uniqueName="[BASE_COM].[Cliente]" caption="Cliente" attribute="1" defaultMemberUniqueName="[BASE_COM].[Cliente].[All]" allUniqueName="[BASE_COM].[Cliente].[All]" dimensionUniqueName="[BASE_COM]" displayFolder="" count="0" memberValueDatatype="130" unbalanced="0"/>
    <cacheHierarchy uniqueName="[BASE_COM].[Unidade]" caption="Unidade" attribute="1" defaultMemberUniqueName="[BASE_COM].[Unidade].[All]" allUniqueName="[BASE_COM].[Unidade].[All]" dimensionUniqueName="[BASE_COM]" displayFolder="" count="0" memberValueDatatype="130" unbalanced="0"/>
    <cacheHierarchy uniqueName="[BASE_COM].[Fonte]" caption="Fonte" attribute="1" defaultMemberUniqueName="[BASE_COM].[Fonte].[All]" allUniqueName="[BASE_COM].[Fonte].[All]" dimensionUniqueName="[BASE_COM]" displayFolder="" count="0" memberValueDatatype="130" unbalanced="0"/>
    <cacheHierarchy uniqueName="[BASE_COM].[Campanha]" caption="Campanha" attribute="1" defaultMemberUniqueName="[BASE_COM].[Campanha].[All]" allUniqueName="[BASE_COM].[Campanha].[All]" dimensionUniqueName="[BASE_COM]" displayFolder="" count="0" memberValueDatatype="130" unbalanced="0"/>
    <cacheHierarchy uniqueName="[BASE_COM].[Classificação]" caption="Classificação" attribute="1" defaultMemberUniqueName="[BASE_COM].[Classificação].[All]" allUniqueName="[BASE_COM].[Classificação].[All]" dimensionUniqueName="[BASE_COM]" displayFolder="" count="2" memberValueDatatype="130" unbalanced="0">
      <fieldsUsage count="2">
        <fieldUsage x="-1"/>
        <fieldUsage x="5"/>
      </fieldsUsage>
    </cacheHierarchy>
    <cacheHierarchy uniqueName="[BASE_COM].[Entrada]" caption="Entrada" attribute="1" defaultMemberUniqueName="[BASE_COM].[Entrada].[All]" allUniqueName="[BASE_COM].[Entrada].[All]" dimensionUniqueName="[BASE_COM]" displayFolder="" count="0" memberValueDatatype="130" unbalanced="0"/>
    <cacheHierarchy uniqueName="[BASE_COM].[Serviço]" caption="Serviço" attribute="1" defaultMemberUniqueName="[BASE_COM].[Serviço].[All]" allUniqueName="[BASE_COM].[Serviço].[All]" dimensionUniqueName="[BASE_COM]" displayFolder="" count="0" memberValueDatatype="130" unbalanced="0"/>
    <cacheHierarchy uniqueName="[BASE_COM].[Proposta Enviada ?]" caption="Proposta Enviada ?" attribute="1" defaultMemberUniqueName="[BASE_COM].[Proposta Enviada ?].[All]" allUniqueName="[BASE_COM].[Proposta Enviada ?].[All]" dimensionUniqueName="[BASE_COM]" displayFolder="" count="2" memberValueDatatype="130" unbalanced="0">
      <fieldsUsage count="2">
        <fieldUsage x="-1"/>
        <fieldUsage x="0"/>
      </fieldsUsage>
    </cacheHierarchy>
    <cacheHierarchy uniqueName="[BASE_COM].[Valor Proposta]" caption="Valor Proposta" attribute="1" defaultMemberUniqueName="[BASE_COM].[Valor Proposta].[All]" allUniqueName="[BASE_COM].[Valor Proposta].[All]" dimensionUniqueName="[BASE_COM]" displayFolder="" count="0" memberValueDatatype="5" unbalanced="0"/>
    <cacheHierarchy uniqueName="[BASE_COM].[TIPO]" caption="TIPO" attribute="1" defaultMemberUniqueName="[BASE_COM].[TIPO].[All]" allUniqueName="[BASE_COM].[TIPO].[All]" dimensionUniqueName="[BASE_COM]" displayFolder="" count="2" memberValueDatatype="130" unbalanced="0">
      <fieldsUsage count="2">
        <fieldUsage x="-1"/>
        <fieldUsage x="6"/>
      </fieldsUsage>
    </cacheHierarchy>
    <cacheHierarchy uniqueName="[BASE_COM].[Data de envio]" caption="Data de envio" attribute="1" time="1" defaultMemberUniqueName="[BASE_COM].[Data de envio].[All]" allUniqueName="[BASE_COM].[Data de envio].[All]" dimensionUniqueName="[BASE_COM]" displayFolder="" count="0" memberValueDatatype="7" unbalanced="0"/>
    <cacheHierarchy uniqueName="[BASE_COM].[Mês]" caption="Mês" attribute="1" defaultMemberUniqueName="[BASE_COM].[Mês].[All]" allUniqueName="[BASE_COM].[Mês].[All]" dimensionUniqueName="[BASE_COM]" displayFolder="" count="0" memberValueDatatype="130" unbalanced="0"/>
    <cacheHierarchy uniqueName="[BASE_COM].[Semana Entrada]" caption="Semana Entrada" attribute="1" defaultMemberUniqueName="[BASE_COM].[Semana Entrada].[All]" allUniqueName="[BASE_COM].[Semana Entrada].[All]" dimensionUniqueName="[BASE_COM]" displayFolder="" count="0" memberValueDatatype="130" unbalanced="0"/>
    <cacheHierarchy uniqueName="[BASE_COM].[Semana Envio]" caption="Semana Envio" attribute="1" defaultMemberUniqueName="[BASE_COM].[Semana Envio].[All]" allUniqueName="[BASE_COM].[Semana Envio].[All]" dimensionUniqueName="[BASE_COM]" displayFolder="" count="0" memberValueDatatype="130" unbalanced="0"/>
    <cacheHierarchy uniqueName="[BASE_COM].[Data (Ano)]" caption="Data (Ano)" attribute="1" defaultMemberUniqueName="[BASE_COM].[Data (Ano)].[All]" allUniqueName="[BASE_COM].[Data (Ano)].[All]" dimensionUniqueName="[BASE_COM]" displayFolder="" count="0" memberValueDatatype="130" unbalanced="0"/>
    <cacheHierarchy uniqueName="[BASE_COM].[Data (Trimestre)]" caption="Data (Trimestre)" attribute="1" defaultMemberUniqueName="[BASE_COM].[Data (Trimestre)].[All]" allUniqueName="[BASE_COM].[Data (Trimestre)].[All]" dimensionUniqueName="[BASE_COM]" displayFolder="" count="0" memberValueDatatype="130" unbalanced="0"/>
    <cacheHierarchy uniqueName="[BASE_COM].[Data (Mês)]" caption="Data (Mês)" attribute="1" defaultMemberUniqueName="[BASE_COM].[Data (Mês)].[All]" allUniqueName="[BASE_COM].[Data (Mês)].[All]" dimensionUniqueName="[BASE_COM]" displayFolder="" count="2" memberValueDatatype="130" unbalanced="0">
      <fieldsUsage count="2">
        <fieldUsage x="-1"/>
        <fieldUsage x="4"/>
      </fieldsUsage>
    </cacheHierarchy>
    <cacheHierarchy uniqueName="[BASE_COM].[Data de envio (Mês)]" caption="Data de envio (Mês)" attribute="1" defaultMemberUniqueName="[BASE_COM].[Data de envio (Mês)].[All]" allUniqueName="[BASE_COM].[Data de envio (Mês)].[All]" dimensionUniqueName="[BASE_COM]" displayFolder="" count="2" memberValueDatatype="130" unbalanced="0">
      <fieldsUsage count="2">
        <fieldUsage x="-1"/>
        <fieldUsage x="7"/>
      </fieldsUsage>
    </cacheHierarchy>
    <cacheHierarchy uniqueName="[BASE_VENDAS].[Data]" caption="Data" attribute="1" time="1" defaultMemberUniqueName="[BASE_VENDAS].[Data].[All]" allUniqueName="[BASE_VENDAS].[Data].[All]" dimensionUniqueName="[BASE_VENDAS]" displayFolder="" count="0" memberValueDatatype="7" unbalanced="0"/>
    <cacheHierarchy uniqueName="[BASE_VENDAS].[Cliente]" caption="Cliente" attribute="1" defaultMemberUniqueName="[BASE_VENDAS].[Cliente].[All]" allUniqueName="[BASE_VENDAS].[Cliente].[All]" dimensionUniqueName="[BASE_VENDAS]" displayFolder="" count="0" memberValueDatatype="130" unbalanced="0"/>
    <cacheHierarchy uniqueName="[BASE_VENDAS].[Unidade]" caption="Unidade" attribute="1" defaultMemberUniqueName="[BASE_VENDAS].[Unidade].[All]" allUniqueName="[BASE_VENDAS].[Unidade].[All]" dimensionUniqueName="[BASE_VENDAS]" displayFolder="" count="0" memberValueDatatype="130" unbalanced="0"/>
    <cacheHierarchy uniqueName="[BASE_VENDAS].[Serviço]" caption="Serviço" attribute="1" defaultMemberUniqueName="[BASE_VENDAS].[Serviço].[All]" allUniqueName="[BASE_VENDAS].[Serviço].[All]" dimensionUniqueName="[BASE_VENDAS]" displayFolder="" count="0" memberValueDatatype="130" unbalanced="0"/>
    <cacheHierarchy uniqueName="[BASE_VENDAS].[Entrada]" caption="Entrada" attribute="1" defaultMemberUniqueName="[BASE_VENDAS].[Entrada].[All]" allUniqueName="[BASE_VENDAS].[Entrada].[All]" dimensionUniqueName="[BASE_VENDAS]" displayFolder="" count="0" memberValueDatatype="130" unbalanced="0"/>
    <cacheHierarchy uniqueName="[BASE_VENDAS].[Reativação?]" caption="Reativação?" attribute="1" defaultMemberUniqueName="[BASE_VENDAS].[Reativação?].[All]" allUniqueName="[BASE_VENDAS].[Reativação?].[All]" dimensionUniqueName="[BASE_VENDAS]" displayFolder="" count="0" memberValueDatatype="130" unbalanced="0"/>
    <cacheHierarchy uniqueName="[BASE_VENDAS].[ICP]" caption="ICP" attribute="1" defaultMemberUniqueName="[BASE_VENDAS].[ICP].[All]" allUniqueName="[BASE_VENDAS].[ICP].[All]" dimensionUniqueName="[BASE_VENDAS]" displayFolder="" count="2" memberValueDatatype="130" unbalanced="0">
      <fieldsUsage count="2">
        <fieldUsage x="-1"/>
        <fieldUsage x="3"/>
      </fieldsUsage>
    </cacheHierarchy>
    <cacheHierarchy uniqueName="[BASE_VENDAS].[Tipo]" caption="Tipo" attribute="1" defaultMemberUniqueName="[BASE_VENDAS].[Tipo].[All]" allUniqueName="[BASE_VENDAS].[Tipo].[All]" dimensionUniqueName="[BASE_VENDAS]" displayFolder="" count="0" memberValueDatatype="130" unbalanced="0"/>
    <cacheHierarchy uniqueName="[BASE_VENDAS].[Valor]" caption="Valor" attribute="1" defaultMemberUniqueName="[BASE_VENDAS].[Valor].[All]" allUniqueName="[BASE_VENDAS].[Valor].[All]" dimensionUniqueName="[BASE_VENDAS]" displayFolder="" count="0" memberValueDatatype="5" unbalanced="0"/>
    <cacheHierarchy uniqueName="[BASE_VENDAS].[Data (Mês)]" caption="Data (Mês)" attribute="1" defaultMemberUniqueName="[BASE_VENDAS].[Data (Mês)].[All]" allUniqueName="[BASE_VENDAS].[Data (Mês)].[All]" dimensionUniqueName="[BASE_VENDAS]" displayFolder="" count="2" memberValueDatatype="130" unbalanced="0">
      <fieldsUsage count="2">
        <fieldUsage x="-1"/>
        <fieldUsage x="2"/>
      </fieldsUsage>
    </cacheHierarchy>
    <cacheHierarchy uniqueName="[BASE_VENDAS].[MÊS VENDA]" caption="MÊS VENDA" attribute="1" defaultMemberUniqueName="[BASE_VENDAS].[MÊS VENDA].[All]" allUniqueName="[BASE_VENDAS].[MÊS VENDA].[All]" dimensionUniqueName="[BASE_VENDAS]" displayFolder="" count="0" memberValueDatatype="130" unbalanced="0"/>
    <cacheHierarchy uniqueName="[BASE_VENDAS].[ORIGEM]" caption="ORIGEM" attribute="1" defaultMemberUniqueName="[BASE_VENDAS].[ORIGEM].[All]" allUniqueName="[BASE_VENDAS].[ORIGEM].[All]" dimensionUniqueName="[BASE_VENDAS]" displayFolder="" count="0" memberValueDatatype="130" unbalanced="0"/>
    <cacheHierarchy uniqueName="[BASE_COM].[Data (Índice de Mês)]" caption="Data (Índice de Mês)" attribute="1" defaultMemberUniqueName="[BASE_COM].[Data (Índice de Mês)].[All]" allUniqueName="[BASE_COM].[Data (Índice de Mês)].[All]" dimensionUniqueName="[BASE_COM]" displayFolder="" count="0" memberValueDatatype="20" unbalanced="0" hidden="1"/>
    <cacheHierarchy uniqueName="[BASE_COM].[Data de envio (Índice de Mês)]" caption="Data de envio (Índice de Mês)" attribute="1" defaultMemberUniqueName="[BASE_COM].[Data de envio (Índice de Mês)].[All]" allUniqueName="[BASE_COM].[Data de envio (Índice de Mês)].[All]" dimensionUniqueName="[BASE_COM]" displayFolder="" count="0" memberValueDatatype="20" unbalanced="0" hidden="1"/>
    <cacheHierarchy uniqueName="[BASE_VENDAS].[Data (Índice de Mês)]" caption="Data (Índice de Mês)" attribute="1" defaultMemberUniqueName="[BASE_VENDAS].[Data (Índice de Mês)].[All]" allUniqueName="[BASE_VENDAS].[Data (Índice de Mês)].[All]" dimensionUniqueName="[BASE_VENDAS]" displayFolder="" count="0" memberValueDatatype="20" unbalanced="0" hidden="1"/>
    <cacheHierarchy uniqueName="[Measures].[__XL_Count BASE_COM]" caption="__XL_Count BASE_COM" measure="1" displayFolder="" measureGroup="BASE_COM" count="0" hidden="1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  <cacheHierarchy uniqueName="[Measures].[Contagem de Proposta Enviada ?]" caption="Contagem de Proposta Enviada ?" measure="1" displayFolder="" measureGroup="BASE_COM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Valor Proposta]" caption="Contagem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Semana Envio]" caption="Contagem de Semana Envio" measure="1" displayFolder="" measureGroup="BASE_COM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Data de envio (Mês)]" caption="Contagem de Data de envio (Mês)" measure="1" displayFolder="" measureGroup="BASE_COM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Valor Proposta]" caption="Soma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]" caption="Soma de Valor" measure="1" displayFolder="" measureGroup="BASE_VENDA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3">
    <dimension name="BASE_COM" uniqueName="[BASE_COM]" caption="BASE_COM"/>
    <dimension name="BASE_VENDAS" uniqueName="[BASE_VENDAS]" caption="BASE_VENDAS"/>
    <dimension measure="1" name="Measures" uniqueName="[Measures]" caption="Measures"/>
  </dimensions>
  <measureGroups count="2">
    <measureGroup name="BASE_COM" caption="BASE_COM"/>
    <measureGroup name="BASE_VENDAS" caption="BASE_VENDA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nardo" refreshedDate="46167.788852662037" backgroundQuery="1" createdVersion="3" refreshedVersion="8" minRefreshableVersion="3" recordCount="0" supportSubquery="1" supportAdvancedDrill="1" xr:uid="{8FE98781-3F63-4D6A-A989-A9FA34AB2D7E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4">
    <cacheHierarchy uniqueName="[BASE_COM].[Data]" caption="Data" attribute="1" time="1" defaultMemberUniqueName="[BASE_COM].[Data].[All]" allUniqueName="[BASE_COM].[Data].[All]" dimensionUniqueName="[BASE_COM]" displayFolder="" count="0" memberValueDatatype="7" unbalanced="0"/>
    <cacheHierarchy uniqueName="[BASE_COM].[Nome]" caption="Nome" attribute="1" defaultMemberUniqueName="[BASE_COM].[Nome].[All]" allUniqueName="[BASE_COM].[Nome].[All]" dimensionUniqueName="[BASE_COM]" displayFolder="" count="0" memberValueDatatype="130" unbalanced="0"/>
    <cacheHierarchy uniqueName="[BASE_COM].[Cliente]" caption="Cliente" attribute="1" defaultMemberUniqueName="[BASE_COM].[Cliente].[All]" allUniqueName="[BASE_COM].[Cliente].[All]" dimensionUniqueName="[BASE_COM]" displayFolder="" count="0" memberValueDatatype="130" unbalanced="0"/>
    <cacheHierarchy uniqueName="[BASE_COM].[Unidade]" caption="Unidade" attribute="1" defaultMemberUniqueName="[BASE_COM].[Unidade].[All]" allUniqueName="[BASE_COM].[Unidade].[All]" dimensionUniqueName="[BASE_COM]" displayFolder="" count="0" memberValueDatatype="130" unbalanced="0"/>
    <cacheHierarchy uniqueName="[BASE_COM].[Fonte]" caption="Fonte" attribute="1" defaultMemberUniqueName="[BASE_COM].[Fonte].[All]" allUniqueName="[BASE_COM].[Fonte].[All]" dimensionUniqueName="[BASE_COM]" displayFolder="" count="0" memberValueDatatype="130" unbalanced="0"/>
    <cacheHierarchy uniqueName="[BASE_COM].[Campanha]" caption="Campanha" attribute="1" defaultMemberUniqueName="[BASE_COM].[Campanha].[All]" allUniqueName="[BASE_COM].[Campanha].[All]" dimensionUniqueName="[BASE_COM]" displayFolder="" count="0" memberValueDatatype="130" unbalanced="0"/>
    <cacheHierarchy uniqueName="[BASE_COM].[Classificação]" caption="Classificação" attribute="1" defaultMemberUniqueName="[BASE_COM].[Classificação].[All]" allUniqueName="[BASE_COM].[Classificação].[All]" dimensionUniqueName="[BASE_COM]" displayFolder="" count="2" memberValueDatatype="130" unbalanced="0"/>
    <cacheHierarchy uniqueName="[BASE_COM].[Entrada]" caption="Entrada" attribute="1" defaultMemberUniqueName="[BASE_COM].[Entrada].[All]" allUniqueName="[BASE_COM].[Entrada].[All]" dimensionUniqueName="[BASE_COM]" displayFolder="" count="0" memberValueDatatype="130" unbalanced="0"/>
    <cacheHierarchy uniqueName="[BASE_COM].[Serviço]" caption="Serviço" attribute="1" defaultMemberUniqueName="[BASE_COM].[Serviço].[All]" allUniqueName="[BASE_COM].[Serviço].[All]" dimensionUniqueName="[BASE_COM]" displayFolder="" count="0" memberValueDatatype="130" unbalanced="0"/>
    <cacheHierarchy uniqueName="[BASE_COM].[Proposta Enviada ?]" caption="Proposta Enviada ?" attribute="1" defaultMemberUniqueName="[BASE_COM].[Proposta Enviada ?].[All]" allUniqueName="[BASE_COM].[Proposta Enviada ?].[All]" dimensionUniqueName="[BASE_COM]" displayFolder="" count="2" memberValueDatatype="130" unbalanced="0"/>
    <cacheHierarchy uniqueName="[BASE_COM].[Valor Proposta]" caption="Valor Proposta" attribute="1" defaultMemberUniqueName="[BASE_COM].[Valor Proposta].[All]" allUniqueName="[BASE_COM].[Valor Proposta].[All]" dimensionUniqueName="[BASE_COM]" displayFolder="" count="0" memberValueDatatype="5" unbalanced="0"/>
    <cacheHierarchy uniqueName="[BASE_COM].[TIPO]" caption="TIPO" attribute="1" defaultMemberUniqueName="[BASE_COM].[TIPO].[All]" allUniqueName="[BASE_COM].[TIPO].[All]" dimensionUniqueName="[BASE_COM]" displayFolder="" count="2" memberValueDatatype="130" unbalanced="0"/>
    <cacheHierarchy uniqueName="[BASE_COM].[Data de envio]" caption="Data de envio" attribute="1" time="1" defaultMemberUniqueName="[BASE_COM].[Data de envio].[All]" allUniqueName="[BASE_COM].[Data de envio].[All]" dimensionUniqueName="[BASE_COM]" displayFolder="" count="0" memberValueDatatype="7" unbalanced="0"/>
    <cacheHierarchy uniqueName="[BASE_COM].[Mês]" caption="Mês" attribute="1" defaultMemberUniqueName="[BASE_COM].[Mês].[All]" allUniqueName="[BASE_COM].[Mês].[All]" dimensionUniqueName="[BASE_COM]" displayFolder="" count="0" memberValueDatatype="130" unbalanced="0"/>
    <cacheHierarchy uniqueName="[BASE_COM].[Semana Entrada]" caption="Semana Entrada" attribute="1" defaultMemberUniqueName="[BASE_COM].[Semana Entrada].[All]" allUniqueName="[BASE_COM].[Semana Entrada].[All]" dimensionUniqueName="[BASE_COM]" displayFolder="" count="0" memberValueDatatype="130" unbalanced="0"/>
    <cacheHierarchy uniqueName="[BASE_COM].[Semana Envio]" caption="Semana Envio" attribute="1" defaultMemberUniqueName="[BASE_COM].[Semana Envio].[All]" allUniqueName="[BASE_COM].[Semana Envio].[All]" dimensionUniqueName="[BASE_COM]" displayFolder="" count="0" memberValueDatatype="130" unbalanced="0"/>
    <cacheHierarchy uniqueName="[BASE_COM].[Data (Ano)]" caption="Data (Ano)" attribute="1" defaultMemberUniqueName="[BASE_COM].[Data (Ano)].[All]" allUniqueName="[BASE_COM].[Data (Ano)].[All]" dimensionUniqueName="[BASE_COM]" displayFolder="" count="0" memberValueDatatype="130" unbalanced="0"/>
    <cacheHierarchy uniqueName="[BASE_COM].[Data (Trimestre)]" caption="Data (Trimestre)" attribute="1" defaultMemberUniqueName="[BASE_COM].[Data (Trimestre)].[All]" allUniqueName="[BASE_COM].[Data (Trimestre)].[All]" dimensionUniqueName="[BASE_COM]" displayFolder="" count="0" memberValueDatatype="130" unbalanced="0"/>
    <cacheHierarchy uniqueName="[BASE_COM].[Data (Mês)]" caption="Data (Mês)" attribute="1" defaultMemberUniqueName="[BASE_COM].[Data (Mês)].[All]" allUniqueName="[BASE_COM].[Data (Mês)].[All]" dimensionUniqueName="[BASE_COM]" displayFolder="" count="2" memberValueDatatype="130" unbalanced="0"/>
    <cacheHierarchy uniqueName="[BASE_COM].[Data de envio (Mês)]" caption="Data de envio (Mês)" attribute="1" defaultMemberUniqueName="[BASE_COM].[Data de envio (Mês)].[All]" allUniqueName="[BASE_COM].[Data de envio (Mês)].[All]" dimensionUniqueName="[BASE_COM]" displayFolder="" count="2" memberValueDatatype="130" unbalanced="0"/>
    <cacheHierarchy uniqueName="[BASE_VENDAS].[Data]" caption="Data" attribute="1" time="1" defaultMemberUniqueName="[BASE_VENDAS].[Data].[All]" allUniqueName="[BASE_VENDAS].[Data].[All]" dimensionUniqueName="[BASE_VENDAS]" displayFolder="" count="0" memberValueDatatype="7" unbalanced="0"/>
    <cacheHierarchy uniqueName="[BASE_VENDAS].[Cliente]" caption="Cliente" attribute="1" defaultMemberUniqueName="[BASE_VENDAS].[Cliente].[All]" allUniqueName="[BASE_VENDAS].[Cliente].[All]" dimensionUniqueName="[BASE_VENDAS]" displayFolder="" count="0" memberValueDatatype="130" unbalanced="0"/>
    <cacheHierarchy uniqueName="[BASE_VENDAS].[Unidade]" caption="Unidade" attribute="1" defaultMemberUniqueName="[BASE_VENDAS].[Unidade].[All]" allUniqueName="[BASE_VENDAS].[Unidade].[All]" dimensionUniqueName="[BASE_VENDAS]" displayFolder="" count="0" memberValueDatatype="130" unbalanced="0"/>
    <cacheHierarchy uniqueName="[BASE_VENDAS].[Serviço]" caption="Serviço" attribute="1" defaultMemberUniqueName="[BASE_VENDAS].[Serviço].[All]" allUniqueName="[BASE_VENDAS].[Serviço].[All]" dimensionUniqueName="[BASE_VENDAS]" displayFolder="" count="0" memberValueDatatype="130" unbalanced="0"/>
    <cacheHierarchy uniqueName="[BASE_VENDAS].[Entrada]" caption="Entrada" attribute="1" defaultMemberUniqueName="[BASE_VENDAS].[Entrada].[All]" allUniqueName="[BASE_VENDAS].[Entrada].[All]" dimensionUniqueName="[BASE_VENDAS]" displayFolder="" count="0" memberValueDatatype="130" unbalanced="0"/>
    <cacheHierarchy uniqueName="[BASE_VENDAS].[Reativação?]" caption="Reativação?" attribute="1" defaultMemberUniqueName="[BASE_VENDAS].[Reativação?].[All]" allUniqueName="[BASE_VENDAS].[Reativação?].[All]" dimensionUniqueName="[BASE_VENDAS]" displayFolder="" count="0" memberValueDatatype="130" unbalanced="0"/>
    <cacheHierarchy uniqueName="[BASE_VENDAS].[ICP]" caption="ICP" attribute="1" defaultMemberUniqueName="[BASE_VENDAS].[ICP].[All]" allUniqueName="[BASE_VENDAS].[ICP].[All]" dimensionUniqueName="[BASE_VENDAS]" displayFolder="" count="2" memberValueDatatype="130" unbalanced="0"/>
    <cacheHierarchy uniqueName="[BASE_VENDAS].[Tipo]" caption="Tipo" attribute="1" defaultMemberUniqueName="[BASE_VENDAS].[Tipo].[All]" allUniqueName="[BASE_VENDAS].[Tipo].[All]" dimensionUniqueName="[BASE_VENDAS]" displayFolder="" count="0" memberValueDatatype="130" unbalanced="0"/>
    <cacheHierarchy uniqueName="[BASE_VENDAS].[Valor]" caption="Valor" attribute="1" defaultMemberUniqueName="[BASE_VENDAS].[Valor].[All]" allUniqueName="[BASE_VENDAS].[Valor].[All]" dimensionUniqueName="[BASE_VENDAS]" displayFolder="" count="0" memberValueDatatype="5" unbalanced="0"/>
    <cacheHierarchy uniqueName="[BASE_VENDAS].[Data (Mês)]" caption="Data (Mês)" attribute="1" defaultMemberUniqueName="[BASE_VENDAS].[Data (Mês)].[All]" allUniqueName="[BASE_VENDAS].[Data (Mês)].[All]" dimensionUniqueName="[BASE_VENDAS]" displayFolder="" count="2" memberValueDatatype="130" unbalanced="0"/>
    <cacheHierarchy uniqueName="[BASE_VENDAS].[MÊS VENDA]" caption="MÊS VENDA" attribute="1" defaultMemberUniqueName="[BASE_VENDAS].[MÊS VENDA].[All]" allUniqueName="[BASE_VENDAS].[MÊS VENDA].[All]" dimensionUniqueName="[BASE_VENDAS]" displayFolder="" count="0" memberValueDatatype="130" unbalanced="0"/>
    <cacheHierarchy uniqueName="[BASE_VENDAS].[ORIGEM]" caption="ORIGEM" attribute="1" defaultMemberUniqueName="[BASE_VENDAS].[ORIGEM].[All]" allUniqueName="[BASE_VENDAS].[ORIGEM].[All]" dimensionUniqueName="[BASE_VENDAS]" displayFolder="" count="0" memberValueDatatype="130" unbalanced="0"/>
    <cacheHierarchy uniqueName="[BASE_COM].[Data (Índice de Mês)]" caption="Data (Índice de Mês)" attribute="1" defaultMemberUniqueName="[BASE_COM].[Data (Índice de Mês)].[All]" allUniqueName="[BASE_COM].[Data (Índice de Mês)].[All]" dimensionUniqueName="[BASE_COM]" displayFolder="" count="0" memberValueDatatype="20" unbalanced="0" hidden="1"/>
    <cacheHierarchy uniqueName="[BASE_COM].[Data de envio (Índice de Mês)]" caption="Data de envio (Índice de Mês)" attribute="1" defaultMemberUniqueName="[BASE_COM].[Data de envio (Índice de Mês)].[All]" allUniqueName="[BASE_COM].[Data de envio (Índice de Mês)].[All]" dimensionUniqueName="[BASE_COM]" displayFolder="" count="0" memberValueDatatype="20" unbalanced="0" hidden="1"/>
    <cacheHierarchy uniqueName="[BASE_VENDAS].[Data (Índice de Mês)]" caption="Data (Índice de Mês)" attribute="1" defaultMemberUniqueName="[BASE_VENDAS].[Data (Índice de Mês)].[All]" allUniqueName="[BASE_VENDAS].[Data (Índice de Mês)].[All]" dimensionUniqueName="[BASE_VENDAS]" displayFolder="" count="0" memberValueDatatype="20" unbalanced="0" hidden="1"/>
    <cacheHierarchy uniqueName="[Measures].[__XL_Count BASE_COM]" caption="__XL_Count BASE_COM" measure="1" displayFolder="" measureGroup="BASE_COM" count="0" hidden="1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  <cacheHierarchy uniqueName="[Measures].[Contagem de Proposta Enviada ?]" caption="Contagem de Proposta Enviada ?" measure="1" displayFolder="" measureGroup="BASE_CO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Valor Proposta]" caption="Contagem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Semana Envio]" caption="Contagem de Semana Envio" measure="1" displayFolder="" measureGroup="BASE_COM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Data de envio (Mês)]" caption="Contagem de Data de envio (Mês)" measure="1" displayFolder="" measureGroup="BASE_COM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Valor Proposta]" caption="Soma de Valor Proposta" measure="1" displayFolder="" measureGroup="BASE_CO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]" caption="Soma de Valor" measure="1" displayFolder="" measureGroup="BASE_VENDA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75878191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03804-8EC0-4534-9F1E-8AD5179144F1}" name="CONT_PROP_ENVIA_MÊS" cacheId="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5">
  <location ref="AU91:BA94" firstHeaderRow="1" firstDataRow="2" firstDataCol="1"/>
  <pivotFields count="8">
    <pivotField axis="axisRow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ntagem de Proposta Enviada ?" fld="2" subtotal="count" baseField="0" baseItem="0"/>
  </dataFields>
  <chartFormats count="5">
    <chartFormat chart="13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CO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732E8-B6FA-4649-B880-5E44E0AE269E}" name="VOLUME_PROPOSTAS_MÊS" cacheId="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0">
  <location ref="BZ171:CA177" firstHeaderRow="1" firstDataRow="1" firstDataCol="1"/>
  <pivotFields count="6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Proposta" fld="1" baseField="0" baseItem="4" numFmtId="44"/>
  </dataFields>
  <formats count="2">
    <format dxfId="25">
      <pivotArea outline="0" collapsedLevelsAreSubtotals="1" fieldPosition="0"/>
    </format>
    <format dxfId="24">
      <pivotArea dataOnly="0" labelOnly="1" outline="0" axis="axisValues" fieldPosition="0"/>
    </format>
  </format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oma de Valor Proposta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CO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5D008-8C83-4BA4-ABD5-BD03F03CAF28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23:E325" firstHeaderRow="1" firstDataRow="2" firstDataCol="1" rowPageCount="1" colPageCount="1"/>
  <pivotFields count="8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1" hier="19" name="[BASE_COM].[Data de envio (Mês)].[All]" cap="All"/>
  </pageFields>
  <dataFields count="1">
    <dataField name="Contagem de Proposta Enviada ?" fld="2" subtotal="count" baseField="0" baseItem="0"/>
  </dataFields>
  <chartFormats count="4">
    <chartFormat chart="3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BASE_COM]"/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72F58-FE7E-42A0-AE3A-AF3504366AD8}" name="VENDA_SERVIÇO" cacheId="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31" fieldListSortAscending="1">
  <location ref="A215:H225" firstHeaderRow="1" firstDataRow="2" firstDataCol="1"/>
  <pivotFields count="9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a de Valor" fld="2" baseField="0" baseItem="0"/>
  </dataFields>
  <formats count="1">
    <format dxfId="26">
      <pivotArea outline="0" collapsedLevelsAreSubtotals="1" fieldPosition="0"/>
    </format>
  </formats>
  <chartFormats count="8">
    <chartFormat chart="6" format="107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6" format="1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09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6" format="1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BASE_VENDAS]"/>
        <x15:activeTabTopLevelEntity name="[BASE_CO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BE298-3583-4FF0-8232-8BED071954D1}" name="PROPOS_ENV_SEMANA" cacheId="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1">
  <location ref="A152:G159" firstHeaderRow="1" firstDataRow="2" firstDataCol="1"/>
  <pivotFields count="9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ntagem de Semana Envio" fld="1" subtotal="count" baseField="0" baseItem="0"/>
  </dataFields>
  <chartFormats count="5"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COM]"/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8DA13-DC98-43E7-98B8-49284B35B9F1}" name="CONT_PROPOSTA" cacheId="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9">
  <location ref="A1:B3" firstHeaderRow="1" firstDataRow="1" firstDataCol="1"/>
  <pivotFields count="8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name="Contagem de Proposta Enviada ?" fld="1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BASE_COM]"/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0C13C-7D23-4592-A83C-4D1E41898178}" name="VENDAS_MÊS" cacheId="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7">
  <location ref="CA103:CH105" firstHeaderRow="1" firstDataRow="2" firstDataCol="1" rowPageCount="1" colPageCount="1"/>
  <pivotFields count="9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0" hier="20" name="[BASE_VENDAS].[Data].[All]" cap="All"/>
  </pageFields>
  <dataFields count="1">
    <dataField name="Soma de Valor" fld="2" baseField="0" baseItem="0"/>
  </dataFields>
  <formats count="2">
    <format dxfId="28">
      <pivotArea outline="0" collapsedLevelsAreSubtotals="1" fieldPosition="0"/>
    </format>
    <format dxfId="27">
      <pivotArea dataOnly="0" labelOnly="1" outline="0" axis="axisValues" fieldPosition="0"/>
    </format>
  </formats>
  <chartFormats count="6"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BASE_VENDAS]"/>
        <x15:activeTabTopLevelEntity name="[BASE_CO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A0F40-F8BD-4EE4-AFF7-BBD5C81F7551}" name="CONT_PROPOS_ENV_TRIMESTRAL" cacheId="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5">
  <location ref="BX3:CD5" firstHeaderRow="1" firstDataRow="2" firstDataCol="1" rowPageCount="1" colPageCount="1"/>
  <pivotFields count="9">
    <pivotField axis="axisPage" allDrilled="1" subtotalTop="0" showAll="0" dataSourceSort="1" defaultSubtotal="0" defaultAttributeDrillState="1"/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17" name="[BASE_COM].[Data (Trimestre)].[All]" cap="All"/>
  </pageFields>
  <dataFields count="1">
    <dataField name="Contagem de Proposta Enviada ?" fld="1" subtotal="count" baseField="0" baseItem="0"/>
  </dataFields>
  <chartFormats count="6">
    <chartFormat chart="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BASE_COM]"/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769E7-242A-4F0D-B319-18772801BF51}" name="VENDA_CATEG" cacheId="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4">
  <location ref="A59:J83" firstHeaderRow="1" firstDataRow="2" firstDataCol="1" rowPageCount="1" colPageCount="1"/>
  <pivotFields count="9"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1" hier="29" name="[BASE_VENDAS].[Data (Mês)].[All]" cap="All"/>
  </pageFields>
  <formats count="6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38D22-EF17-47BF-800F-27331E287405}" name="ENVIO_MÊS" cacheId="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4">
  <location ref="AQ5:AQ11" firstHeaderRow="1" firstDataRow="1" firstDataCol="1"/>
  <pivotFields count="7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formats count="5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dataOnly="0" labelOnly="1" outline="0" axis="axisValues" fieldPosition="0"/>
    </format>
    <format dxfId="35">
      <pivotArea type="topRight" dataOnly="0" labelOnly="1" outline="0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COM]"/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_Mês" xr10:uid="{10D83DFF-25CA-49DF-8A9B-4E08A82C53BC}" sourceName="[BASE_VENDAS].[Data (Mês)]">
  <pivotTables>
    <pivotTable tabId="18" name="VENDA_CATEG"/>
    <pivotTable tabId="18" name="CONT_PROPOSTA"/>
    <pivotTable tabId="18" name="CONT_PROPOS_ENV_TRIMESTRAL"/>
    <pivotTable tabId="18" name="ENVIO_MÊS"/>
    <pivotTable tabId="18" name="VENDAS_MÊS"/>
    <pivotTable tabId="18" name="VENDA_SERVIÇO"/>
    <pivotTable tabId="18" name="PROPOS_ENV_SEMANA"/>
    <pivotTable tabId="18" name="CONT_PROP_ENVIA_MÊS"/>
    <pivotTable tabId="18" name="Tabela dinâmica1"/>
  </pivotTables>
  <data>
    <olap pivotCacheId="1758781916">
      <levels count="2">
        <level uniqueName="[BASE_VENDAS].[Data (Mês)].[(All)]" sourceCaption="(All)" count="0"/>
        <level uniqueName="[BASE_VENDAS].[Data (Mês)].[Data (Mês)]" sourceCaption="Data (Mês)" count="6">
          <ranges>
            <range startItem="0">
              <i n="[BASE_VENDAS].[Data (Mês)].&amp;[jan]" c="jan"/>
              <i n="[BASE_VENDAS].[Data (Mês)].&amp;[fev]" c="fev"/>
              <i n="[BASE_VENDAS].[Data (Mês)].&amp;[mar]" c="mar"/>
              <i n="[BASE_VENDAS].[Data (Mês)].&amp;[abr]" c="abr"/>
              <i n="[BASE_VENDAS].[Data (Mês)].&amp;[mai]" c="mai"/>
              <i n="[BASE_VENDAS].[Data (Mês)].&amp;[dez]" c="dez"/>
            </range>
          </ranges>
        </level>
      </levels>
      <selections count="1">
        <selection n="[BASE_VENDAS].[Data (Mês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assificação1" xr10:uid="{FB05F4D5-0271-4516-8F8F-C883DB28C6A3}" sourceName="[BASE_VENDAS].[ICP]">
  <pivotTables>
    <pivotTable tabId="18" name="VENDA_CATEG"/>
    <pivotTable tabId="18" name="CONT_PROPOSTA"/>
    <pivotTable tabId="18" name="CONT_PROPOS_ENV_TRIMESTRAL"/>
    <pivotTable tabId="18" name="ENVIO_MÊS"/>
    <pivotTable tabId="18" name="VENDAS_MÊS"/>
    <pivotTable tabId="18" name="VENDA_SERVIÇO"/>
    <pivotTable tabId="18" name="PROPOS_ENV_SEMANA"/>
    <pivotTable tabId="18" name="CONT_PROP_ENVIA_MÊS"/>
    <pivotTable tabId="18" name="Tabela dinâmica1"/>
  </pivotTables>
  <data>
    <olap pivotCacheId="1758781916">
      <levels count="2">
        <level uniqueName="[BASE_VENDAS].[ICP].[(All)]" sourceCaption="(All)" count="0"/>
        <level uniqueName="[BASE_VENDAS].[ICP].[ICP]" sourceCaption="ICP" count="3">
          <ranges>
            <range startItem="0">
              <i n="[BASE_VENDAS].[ICP].&amp;[A]" c="A"/>
              <i n="[BASE_VENDAS].[ICP].&amp;[B]" c="B"/>
              <i n="[BASE_VENDAS].[ICP].&amp;[C]" c="C"/>
            </range>
          </ranges>
        </level>
      </levels>
      <selections count="1">
        <selection n="[BASE_VENDAS].[ICP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_Mês1" xr10:uid="{4C6CAC0A-7725-42C5-BB5A-09AC84EA32CA}" sourceName="[BASE_COM].[Data (Mês)]">
  <pivotTables>
    <pivotTable tabId="18" name="CONT_PROP_ENVIA_MÊS"/>
    <pivotTable tabId="18" name="PROPOS_ENV_SEMANA"/>
    <pivotTable tabId="18" name="VENDA_CATEG"/>
    <pivotTable tabId="18" name="CONT_PROPOSTA"/>
    <pivotTable tabId="18" name="CONT_PROPOS_ENV_TRIMESTRAL"/>
    <pivotTable tabId="18" name="VOLUME_PROPOSTAS_MÊS"/>
    <pivotTable tabId="18" name="ENVIO_MÊS"/>
    <pivotTable tabId="18" name="VENDAS_MÊS"/>
    <pivotTable tabId="18" name="VENDA_SERVIÇO"/>
    <pivotTable tabId="18" name="Tabela dinâmica1"/>
  </pivotTables>
  <data>
    <olap pivotCacheId="1758781916">
      <levels count="2">
        <level uniqueName="[BASE_COM].[Data (Mês)].[(All)]" sourceCaption="(All)" count="0"/>
        <level uniqueName="[BASE_COM].[Data (Mês)].[Data (Mês)]" sourceCaption="Data (Mês)" count="5">
          <ranges>
            <range startItem="0">
              <i n="[BASE_COM].[Data (Mês)].&amp;[jan]" c="jan"/>
              <i n="[BASE_COM].[Data (Mês)].&amp;[fev]" c="fev"/>
              <i n="[BASE_COM].[Data (Mês)].&amp;[mar]" c="mar"/>
              <i n="[BASE_COM].[Data (Mês)].&amp;[abr]" c="abr"/>
              <i n="[BASE_COM].[Data (Mês)].&amp;[mai]" c="mai"/>
            </range>
          </ranges>
        </level>
      </levels>
      <selections count="1">
        <selection n="[BASE_COM].[Data (Mês)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assificação" xr10:uid="{A0CB10CA-679F-4B61-A656-5215A3CBF43D}" sourceName="[BASE_COM].[Classificação]">
  <pivotTables>
    <pivotTable tabId="18" name="VENDA_CATEG"/>
    <pivotTable tabId="18" name="CONT_PROPOSTA"/>
    <pivotTable tabId="18" name="CONT_PROPOS_ENV_TRIMESTRAL"/>
    <pivotTable tabId="18" name="ENVIO_MÊS"/>
    <pivotTable tabId="18" name="VENDAS_MÊS"/>
    <pivotTable tabId="18" name="VENDA_SERVIÇO"/>
    <pivotTable tabId="18" name="PROPOS_ENV_SEMANA"/>
    <pivotTable tabId="18" name="VOLUME_PROPOSTAS_MÊS"/>
    <pivotTable tabId="18" name="CONT_PROP_ENVIA_MÊS"/>
    <pivotTable tabId="18" name="Tabela dinâmica1"/>
  </pivotTables>
  <data>
    <olap pivotCacheId="1758781916">
      <levels count="2">
        <level uniqueName="[BASE_COM].[Classificação].[(All)]" sourceCaption="(All)" count="0"/>
        <level uniqueName="[BASE_COM].[Classificação].[Classificação]" sourceCaption="Classificação" count="3">
          <ranges>
            <range startItem="0">
              <i n="[BASE_COM].[Classificação].&amp;[A]" c="A"/>
              <i n="[BASE_COM].[Classificação].&amp;[B]" c="B"/>
              <i n="[BASE_COM].[Classificação].&amp;[C]" c="C"/>
            </range>
          </ranges>
        </level>
      </levels>
      <selections count="1">
        <selection n="[BASE_COM].[Classificação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7F74B295-782B-42F2-9670-AB7440114C18}" sourceName="[BASE_COM].[TIPO]">
  <pivotTables>
    <pivotTable tabId="18" name="VENDA_CATEG"/>
    <pivotTable tabId="18" name="CONT_PROPOSTA"/>
    <pivotTable tabId="18" name="CONT_PROPOS_ENV_TRIMESTRAL"/>
    <pivotTable tabId="18" name="ENVIO_MÊS"/>
    <pivotTable tabId="18" name="VENDAS_MÊS"/>
    <pivotTable tabId="18" name="VENDA_SERVIÇO"/>
    <pivotTable tabId="18" name="PROPOS_ENV_SEMANA"/>
    <pivotTable tabId="18" name="VOLUME_PROPOSTAS_MÊS"/>
    <pivotTable tabId="18" name="CONT_PROP_ENVIA_MÊS"/>
    <pivotTable tabId="18" name="Tabela dinâmica1"/>
  </pivotTables>
  <data>
    <olap pivotCacheId="1758781916">
      <levels count="2">
        <level uniqueName="[BASE_COM].[TIPO].[(All)]" sourceCaption="(All)" count="0"/>
        <level uniqueName="[BASE_COM].[TIPO].[TIPO]" sourceCaption="TIPO" count="2">
          <ranges>
            <range startItem="0">
              <i n="[BASE_COM].[TIPO].&amp;[P]" c="P"/>
              <i n="[BASE_COM].[TIPO].&amp;[R]" c="R"/>
            </range>
          </ranges>
        </level>
      </levels>
      <selections count="1">
        <selection n="[BASE_COM].[TIPO].[All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posta_Enviada_?" xr10:uid="{F095E8EE-D559-4D4A-8287-5050E42C6CCB}" sourceName="[BASE_COM].[Proposta Enviada ?]">
  <pivotTables>
    <pivotTable tabId="18" name="VENDA_CATEG"/>
    <pivotTable tabId="18" name="CONT_PROPOSTA"/>
    <pivotTable tabId="18" name="CONT_PROPOS_ENV_TRIMESTRAL"/>
    <pivotTable tabId="18" name="ENVIO_MÊS"/>
    <pivotTable tabId="18" name="VENDAS_MÊS"/>
    <pivotTable tabId="18" name="VENDA_SERVIÇO"/>
    <pivotTable tabId="18" name="PROPOS_ENV_SEMANA"/>
    <pivotTable tabId="18" name="VOLUME_PROPOSTAS_MÊS"/>
    <pivotTable tabId="18" name="CONT_PROP_ENVIA_MÊS"/>
    <pivotTable tabId="18" name="Tabela dinâmica1"/>
  </pivotTables>
  <data>
    <olap pivotCacheId="1758781916">
      <levels count="2">
        <level uniqueName="[BASE_COM].[Proposta Enviada ?].[(All)]" sourceCaption="(All)" count="0"/>
        <level uniqueName="[BASE_COM].[Proposta Enviada ?].[Proposta Enviada ?]" sourceCaption="Proposta Enviada ?" count="1">
          <ranges>
            <range startItem="0">
              <i n="[BASE_COM].[Proposta Enviada ?].&amp;[S]" c="S"/>
            </range>
          </ranges>
        </level>
      </levels>
      <selections count="1">
        <selection n="[BASE_COM].[Proposta Enviada ?].[All]"/>
      </selections>
    </olap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de_envio__Mês" xr10:uid="{7B53AA30-5B42-465B-BCA5-C39A90662A18}" sourceName="[BASE_COM].[Data de envio (Mês)]">
  <pivotTables>
    <pivotTable tabId="18" name="VENDA_CATEG"/>
    <pivotTable tabId="18" name="CONT_PROPOSTA"/>
    <pivotTable tabId="18" name="CONT_PROPOS_ENV_TRIMESTRAL"/>
    <pivotTable tabId="18" name="ENVIO_MÊS"/>
    <pivotTable tabId="18" name="VENDAS_MÊS"/>
    <pivotTable tabId="18" name="VENDA_SERVIÇO"/>
    <pivotTable tabId="18" name="PROPOS_ENV_SEMANA"/>
    <pivotTable tabId="18" name="VOLUME_PROPOSTAS_MÊS"/>
    <pivotTable tabId="18" name="CONT_PROP_ENVIA_MÊS"/>
    <pivotTable tabId="18" name="Tabela dinâmica1"/>
  </pivotTables>
  <data>
    <olap pivotCacheId="1758781916">
      <levels count="2">
        <level uniqueName="[BASE_COM].[Data de envio (Mês)].[(All)]" sourceCaption="(All)" count="0"/>
        <level uniqueName="[BASE_COM].[Data de envio (Mês)].[Data de envio (Mês)]" sourceCaption="Data de envio (Mês)" count="5">
          <ranges>
            <range startItem="0">
              <i n="[BASE_COM].[Data de envio (Mês)].&amp;[jan]" c="jan"/>
              <i n="[BASE_COM].[Data de envio (Mês)].&amp;[fev]" c="fev"/>
              <i n="[BASE_COM].[Data de envio (Mês)].&amp;[mar]" c="mar"/>
              <i n="[BASE_COM].[Data de envio (Mês)].&amp;[abr]" c="abr"/>
              <i n="[BASE_COM].[Data de envio (Mês)].&amp;[mai]" c="mai"/>
            </range>
          </ranges>
        </level>
      </levels>
      <selections count="1">
        <selection n="[BASE_COM].[Data de envio (Mês)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(Mês)" xr10:uid="{1F7A9E90-C07A-4E9D-8A5F-9EE8C0EEA3EC}" cache="SegmentaçãodeDados_Data__Mês" caption="DATA (VENDAS)" level="1" rowHeight="241300"/>
  <slicer name="Classificação 1" xr10:uid="{A021B24E-D540-4E15-B4D0-A096331D62BE}" cache="SegmentaçãodeDados_Classificação1" caption="CLASSIF. VENDAS" level="1" rowHeight="241300"/>
  <slicer name="Mês LEAD" xr10:uid="{EF7BA6B4-2DE4-495B-80F3-95C0689217F7}" cache="SegmentaçãodeDados_Data__Mês1" caption="Mês LEAD" startItem="3" level="1" rowHeight="241300"/>
  <slicer name="Classificação" xr10:uid="{C3A07AFD-C112-4553-A243-BA5C2EBEC7D4}" cache="SegmentaçãodeDados_Classificação" caption="CLASSIF. PROPOSTA" level="1" rowHeight="241300"/>
  <slicer name="TIPO" xr10:uid="{554956D7-CB17-4EDC-BB9E-5CD58744E30A}" cache="SegmentaçãodeDados_TIPO" caption="TIPO" level="1" rowHeight="241300"/>
  <slicer name="Proposta Enviada ?" xr10:uid="{6D722870-218B-4730-AD1A-B25AA59E710A}" cache="SegmentaçãodeDados_Proposta_Enviada_?" caption="Proposta Enviada ?" level="1" rowHeight="241300"/>
  <slicer name="Data de envio (Mês)" xr10:uid="{854ABEA1-8496-401F-B3A6-05B8D58362FA}" cache="SegmentaçãodeDados_Data_de_envio__Mês" caption="DATA PROPOSTA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562058-2212-413A-B245-24FB9566F268}" name="BASE_COM" displayName="BASE_COM" ref="A1:P55" totalsRowShown="0" headerRowDxfId="19" dataDxfId="18" headerRowBorderDxfId="16" tableBorderDxfId="17">
  <autoFilter ref="A1:P55" xr:uid="{4F562058-2212-413A-B245-24FB9566F268}"/>
  <sortState xmlns:xlrd2="http://schemas.microsoft.com/office/spreadsheetml/2017/richdata2" ref="A2:P52">
    <sortCondition ref="A1:A52"/>
  </sortState>
  <tableColumns count="16">
    <tableColumn id="1" xr3:uid="{94663CBC-221E-4105-9522-28009328D81D}" name="Data" dataDxfId="15"/>
    <tableColumn id="2" xr3:uid="{4D6D342E-6CC2-4DDE-ADB1-242C4E750616}" name="Nome" dataDxfId="14"/>
    <tableColumn id="3" xr3:uid="{98E3F1B5-81D9-4273-A6FF-F44A4813DC13}" name="Cliente" dataDxfId="13"/>
    <tableColumn id="16" xr3:uid="{819D4A4C-E46E-4F39-9830-81395AA4DAFC}" name="Unidade" dataDxfId="12"/>
    <tableColumn id="4" xr3:uid="{6D60521D-7759-42AA-B858-1FF388388C50}" name="Fonte" dataDxfId="11"/>
    <tableColumn id="12" xr3:uid="{4225BB57-EB0A-4E1D-A395-072FBF6320C1}" name="Campanha" dataDxfId="10"/>
    <tableColumn id="5" xr3:uid="{D6996BFA-6378-4C7F-84F6-8B0E186AD568}" name="Classificação" dataDxfId="9"/>
    <tableColumn id="8" xr3:uid="{F005202D-E581-4BED-9940-66EFFBF43FB6}" name="Entrada" dataDxfId="8"/>
    <tableColumn id="10" xr3:uid="{CA1C2A63-8A61-4D52-AF54-3629526D8196}" name="Serviço" dataDxfId="7"/>
    <tableColumn id="15" xr3:uid="{E216C8B9-8050-4380-93B9-9CC775F5C5BB}" name="Proposta Enviada ?" dataDxfId="6"/>
    <tableColumn id="6" xr3:uid="{070D0962-ED35-47F2-980F-5647C65E2842}" name="Valor Proposta" dataDxfId="5"/>
    <tableColumn id="9" xr3:uid="{CFE462E5-4491-47C7-A73F-C33A21FC5273}" name="TIPO" dataDxfId="4"/>
    <tableColumn id="11" xr3:uid="{2ACEB8BC-F561-4778-96E3-0A6BACE971F2}" name="Data de envio" dataDxfId="3"/>
    <tableColumn id="7" xr3:uid="{8B1AD067-C1DF-4CC4-9520-E333825AD335}" name="Mês" dataDxfId="2">
      <calculatedColumnFormula>UPPER(TEXT(A2,"MMMM"))</calculatedColumnFormula>
    </tableColumn>
    <tableColumn id="13" xr3:uid="{AC1FE719-E839-4A88-871C-3F191358174C}" name="Semana Entrada" dataDxfId="1">
      <calculatedColumnFormula>INT((DAY(A2)-1)/7)+1 &amp; "ª semana"</calculatedColumnFormula>
    </tableColumn>
    <tableColumn id="14" xr3:uid="{A20DEF3F-1A7E-4DCF-B485-B4C8240BF5D7}" name="Semana Envio" dataDxfId="0">
      <calculatedColumnFormula>INT((DAY(M2)-1)/7)+1 &amp; "ª semana"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A69AAD-367A-43C0-B053-A589D9D75787}" name="BASE_VENDAS" displayName="BASE_VENDAS" ref="A1:K40" totalsRowShown="0" headerRowDxfId="82" dataDxfId="81">
  <autoFilter ref="A1:K40" xr:uid="{9FA69AAD-367A-43C0-B053-A589D9D75787}"/>
  <sortState xmlns:xlrd2="http://schemas.microsoft.com/office/spreadsheetml/2017/richdata2" ref="A2:K38">
    <sortCondition ref="A1:A38"/>
  </sortState>
  <tableColumns count="11">
    <tableColumn id="1" xr3:uid="{BE466FED-D08B-4A13-90F7-1EF128667FDE}" name="Data" dataDxfId="80"/>
    <tableColumn id="2" xr3:uid="{440ED6FD-5741-4FDF-9816-FAE160D99BEA}" name="Cliente" dataDxfId="79"/>
    <tableColumn id="12" xr3:uid="{F05AA992-9DF6-4CE8-B8E8-4686B96C31C7}" name="Unidade" dataDxfId="78"/>
    <tableColumn id="3" xr3:uid="{524706C0-E803-4810-BED4-3DFA2ABEA1A5}" name="Serviço" dataDxfId="77"/>
    <tableColumn id="9" xr3:uid="{B7837A4E-7803-4B8F-BBAA-5B9CB061004A}" name="Entrada" dataDxfId="76"/>
    <tableColumn id="11" xr3:uid="{2FA8F4E0-1FB0-4CB9-94C8-4EA70D165A2E}" name="Reativação?" dataDxfId="75"/>
    <tableColumn id="6" xr3:uid="{CB932656-6B40-4A73-B113-AF779D72A948}" name="ICP" dataDxfId="74"/>
    <tableColumn id="4" xr3:uid="{1E9E0BBD-8B1A-4978-B56C-3EEF54BA2925}" name="Tipo" dataDxfId="73"/>
    <tableColumn id="5" xr3:uid="{FF7D24E6-F45B-4C09-829D-99E9FD0E872E}" name="Valor" dataDxfId="72" dataCellStyle="Moeda"/>
    <tableColumn id="7" xr3:uid="{7E5C3C2A-DCED-41A2-A9CD-099A6D388123}" name="MÊS VENDA" dataDxfId="71">
      <calculatedColumnFormula>UPPER(TEXT(A2,"mmmm"))</calculatedColumnFormula>
    </tableColumn>
    <tableColumn id="8" xr3:uid="{EC6448C0-7072-480C-9B44-C1DF69D927E6}" name="ORIGEM" dataDxfId="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5599E1-FE73-49D8-8F19-EEF30BF7E871}" name="BASE_EVENTOS" displayName="BASE_EVENTOS" ref="A1:I5" totalsRowShown="0" headerRowDxfId="69" dataDxfId="68">
  <autoFilter ref="A1:I5" xr:uid="{F55599E1-FE73-49D8-8F19-EEF30BF7E871}"/>
  <tableColumns count="9">
    <tableColumn id="1" xr3:uid="{B6A74318-311A-4F21-9501-B6BD80FE045A}" name="EVENTO" dataDxfId="67"/>
    <tableColumn id="2" xr3:uid="{0723CAD3-F396-47FF-B118-1177BA926EB6}" name="Data" dataDxfId="66"/>
    <tableColumn id="3" xr3:uid="{002D6426-15C7-4D2E-B007-0B7A136AA0B9}" name="Lead captados" dataDxfId="65"/>
    <tableColumn id="4" xr3:uid="{DDAF63C7-3707-41AC-BBCC-34C7ABB0A4F5}" name="reuniões" dataDxfId="64"/>
    <tableColumn id="5" xr3:uid="{5D377298-190E-40D5-8A75-779114C44031}" name="%" dataDxfId="63" dataCellStyle="Porcentagem">
      <calculatedColumnFormula>D2/C2</calculatedColumnFormula>
    </tableColumn>
    <tableColumn id="6" xr3:uid="{23F8218B-EAB2-4AAA-9EF1-FD684C422FEF}" name="propostas" dataDxfId="62"/>
    <tableColumn id="7" xr3:uid="{14EED2D6-7E0C-4391-B755-1B2FE11C24EC}" name="%2" dataDxfId="61" dataCellStyle="Porcentagem">
      <calculatedColumnFormula>F2/D2</calculatedColumnFormula>
    </tableColumn>
    <tableColumn id="8" xr3:uid="{F641F9CA-7FE9-4906-89AB-61D7A924E8DD}" name="fechamentos" dataDxfId="60"/>
    <tableColumn id="9" xr3:uid="{9F511DFB-C033-49B1-8B1B-419E202B94E7}" name="%22" dataDxfId="59">
      <calculatedColumnFormula>H2/F2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82B66E-B2E9-4EFA-96A4-FB4F103ECCB7}" name="BASE_ACUM_VENDAS" displayName="BASE_ACUM_VENDAS" ref="A1:N9" totalsRowShown="0" headerRowDxfId="58" dataDxfId="56" headerRowBorderDxfId="57" tableBorderDxfId="55" totalsRowBorderDxfId="54" headerRowCellStyle="Porcentagem" dataCellStyle="Moeda">
  <tableColumns count="14">
    <tableColumn id="1" xr3:uid="{A3C75F98-919B-4057-B3EE-793FD02AE1BA}" name="META DE VENDAS" dataDxfId="53" dataCellStyle="Porcentagem"/>
    <tableColumn id="2" xr3:uid="{4935A2B6-F618-4E3F-B502-A458ABC5B300}" name="JANEIRO" dataDxfId="52" dataCellStyle="Moeda"/>
    <tableColumn id="3" xr3:uid="{F1DBDD73-0E10-49F9-AC77-5A5DF7FE4B30}" name="FEVEREIRO" dataDxfId="51" dataCellStyle="Moeda"/>
    <tableColumn id="4" xr3:uid="{9F0B17D2-536A-4339-920E-C45E1825EF34}" name="MARÇO" dataDxfId="50" dataCellStyle="Moeda"/>
    <tableColumn id="5" xr3:uid="{61F3B99F-5B3C-4C28-B2C8-E4E04FA1C581}" name="ABRIL" dataDxfId="49" dataCellStyle="Moeda"/>
    <tableColumn id="6" xr3:uid="{AC8ACBBC-E2FC-4405-9491-68D7073FF389}" name="MAIO" dataDxfId="48" dataCellStyle="Moeda"/>
    <tableColumn id="7" xr3:uid="{D49E2484-839E-438A-97DF-55748191202D}" name="JUNHO" dataDxfId="47" dataCellStyle="Moeda"/>
    <tableColumn id="8" xr3:uid="{8490267B-3878-4507-8E5F-DC2626BDFF1D}" name="JULHO" dataDxfId="46" dataCellStyle="Moeda"/>
    <tableColumn id="9" xr3:uid="{95EB3A7E-05E2-4773-9B82-A397A3A6CB13}" name="AGOSTO" dataDxfId="45" dataCellStyle="Moeda"/>
    <tableColumn id="10" xr3:uid="{17E1530A-CE57-4891-8F1E-D8E505DB5F07}" name="SETEMBRO" dataDxfId="44" dataCellStyle="Moeda"/>
    <tableColumn id="11" xr3:uid="{999FE665-0574-4091-8A05-83CD331FA2AC}" name="OUTUBRO" dataDxfId="43" dataCellStyle="Moeda"/>
    <tableColumn id="12" xr3:uid="{0C05E694-0EC7-4D0C-9891-52615B933A08}" name="NOVEMBRO" dataDxfId="42" dataCellStyle="Moeda"/>
    <tableColumn id="13" xr3:uid="{033DC635-AF30-44CD-8B33-123F78528A22}" name="DEZEMBRO" dataDxfId="41" dataCellStyle="Moeda"/>
    <tableColumn id="14" xr3:uid="{C82D9A56-B135-4F7C-ACAB-0F43CAB559D5}" name="ACUMULADO" dataDxfId="4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31T18:45:24.76" personId="{3709E7DA-87C4-4921-B061-9DC295978717}" id="{224AEBD8-52FF-4157-B695-D3EF74FA94CD}">
    <text>Manter a data do primeiro contato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5-11-18T18:33:57.59" personId="{3709E7DA-87C4-4921-B061-9DC295978717}" id="{EEA0AEFD-47F3-442D-B4DB-C0307844C4B1}">
    <text>AMSTED; APERAM; VALLOUREC; UNIMED NACIONAL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1108-5735-4AFB-AE8F-A9015DE0EB4B}">
  <sheetPr>
    <tabColor rgb="FF00A100"/>
  </sheetPr>
  <dimension ref="D35:G40"/>
  <sheetViews>
    <sheetView showGridLines="0" showRowColHeaders="0" topLeftCell="A13" zoomScale="85" zoomScaleNormal="85" workbookViewId="0">
      <selection activeCell="K6" sqref="K6"/>
    </sheetView>
  </sheetViews>
  <sheetFormatPr defaultRowHeight="15" x14ac:dyDescent="0.25"/>
  <cols>
    <col min="1" max="1" width="18" customWidth="1"/>
    <col min="2" max="2" width="30.42578125" customWidth="1"/>
    <col min="3" max="125" width="19.5703125" bestFit="1" customWidth="1"/>
    <col min="126" max="126" width="10.7109375" bestFit="1" customWidth="1"/>
  </cols>
  <sheetData>
    <row r="35" spans="4:7" x14ac:dyDescent="0.25">
      <c r="D35" s="51"/>
    </row>
    <row r="36" spans="4:7" x14ac:dyDescent="0.25">
      <c r="D36" s="51"/>
      <c r="G36" s="41"/>
    </row>
    <row r="37" spans="4:7" x14ac:dyDescent="0.25">
      <c r="D37" s="52"/>
    </row>
    <row r="38" spans="4:7" x14ac:dyDescent="0.25">
      <c r="G38" s="50"/>
    </row>
    <row r="39" spans="4:7" x14ac:dyDescent="0.25">
      <c r="G39" s="50"/>
    </row>
    <row r="40" spans="4:7" x14ac:dyDescent="0.25">
      <c r="E40" s="25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DAABC-E4D3-4132-A9A3-B401F8E0F8F6}">
  <sheetPr>
    <tabColor rgb="FFFFC000"/>
  </sheetPr>
  <dimension ref="A1:P61"/>
  <sheetViews>
    <sheetView showGridLines="0" tabSelected="1" zoomScale="90" zoomScaleNormal="90" workbookViewId="0">
      <pane ySplit="1" topLeftCell="A44" activePane="bottomLeft" state="frozen"/>
      <selection pane="bottomLeft" activeCell="B60" sqref="B60"/>
    </sheetView>
  </sheetViews>
  <sheetFormatPr defaultColWidth="2.5703125" defaultRowHeight="15" x14ac:dyDescent="0.25"/>
  <cols>
    <col min="1" max="1" width="11.5703125" style="1" bestFit="1" customWidth="1"/>
    <col min="2" max="2" width="13.140625" style="1" bestFit="1" customWidth="1"/>
    <col min="3" max="3" width="18.28515625" style="39" bestFit="1" customWidth="1"/>
    <col min="4" max="4" width="17.7109375" style="39" bestFit="1" customWidth="1"/>
    <col min="5" max="5" width="15.5703125" style="1" bestFit="1" customWidth="1"/>
    <col min="6" max="6" width="15.28515625" style="1" bestFit="1" customWidth="1"/>
    <col min="7" max="7" width="16.7109375" style="1" bestFit="1" customWidth="1"/>
    <col min="8" max="8" width="12.85546875" style="1" bestFit="1" customWidth="1"/>
    <col min="9" max="9" width="12.42578125" style="1" bestFit="1" customWidth="1"/>
    <col min="10" max="10" width="22.5703125" style="1" bestFit="1" customWidth="1"/>
    <col min="11" max="11" width="20.42578125" style="24" bestFit="1" customWidth="1"/>
    <col min="12" max="12" width="13.5703125" style="1" bestFit="1" customWidth="1"/>
    <col min="13" max="13" width="18.140625" style="1" bestFit="1" customWidth="1"/>
    <col min="14" max="14" width="10.5703125" style="1" bestFit="1" customWidth="1"/>
    <col min="15" max="15" width="20.28515625" style="1" bestFit="1" customWidth="1"/>
    <col min="16" max="16" width="18.140625" style="1" bestFit="1" customWidth="1"/>
    <col min="17" max="17" width="9.140625" style="1" bestFit="1" customWidth="1"/>
    <col min="18" max="16384" width="2.5703125" style="1"/>
  </cols>
  <sheetData>
    <row r="1" spans="1:16" x14ac:dyDescent="0.25">
      <c r="A1" s="1" t="s">
        <v>0</v>
      </c>
      <c r="B1" s="1" t="s">
        <v>1</v>
      </c>
      <c r="C1" s="39" t="s">
        <v>46</v>
      </c>
      <c r="D1" s="39" t="s">
        <v>201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0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37">
        <v>46035</v>
      </c>
      <c r="B2" s="1" t="s">
        <v>99</v>
      </c>
      <c r="C2" s="39" t="s">
        <v>40</v>
      </c>
      <c r="D2" s="39" t="s">
        <v>31</v>
      </c>
      <c r="E2" s="1" t="s">
        <v>15</v>
      </c>
      <c r="F2" s="1" t="s">
        <v>16</v>
      </c>
      <c r="G2" s="1" t="s">
        <v>36</v>
      </c>
      <c r="H2" s="1" t="s">
        <v>226</v>
      </c>
      <c r="I2" s="1" t="s">
        <v>100</v>
      </c>
      <c r="J2" s="1" t="s">
        <v>101</v>
      </c>
      <c r="K2" s="10">
        <v>1650</v>
      </c>
      <c r="L2" s="1" t="s">
        <v>23</v>
      </c>
      <c r="M2" s="37">
        <v>46057</v>
      </c>
      <c r="N2" s="1" t="str">
        <f t="shared" ref="N2:N33" si="0">UPPER(TEXT(A2,"MMMM"))</f>
        <v>JANEIRO</v>
      </c>
      <c r="O2" s="1" t="str">
        <f t="shared" ref="O2:O33" si="1">INT((DAY(A2)-1)/7)+1 &amp; "ª semana"</f>
        <v>2ª semana</v>
      </c>
      <c r="P2" s="1" t="str">
        <f t="shared" ref="P2:P33" si="2">INT((DAY(M2)-1)/7)+1 &amp; "ª semana"</f>
        <v>1ª semana</v>
      </c>
    </row>
    <row r="3" spans="1:16" x14ac:dyDescent="0.25">
      <c r="A3" s="37">
        <v>46037</v>
      </c>
      <c r="B3" s="1" t="s">
        <v>102</v>
      </c>
      <c r="C3" s="39" t="s">
        <v>103</v>
      </c>
      <c r="D3" s="39" t="s">
        <v>202</v>
      </c>
      <c r="E3" s="1" t="s">
        <v>42</v>
      </c>
      <c r="F3" s="1" t="s">
        <v>16</v>
      </c>
      <c r="G3" s="1" t="s">
        <v>39</v>
      </c>
      <c r="H3" s="1" t="s">
        <v>226</v>
      </c>
      <c r="I3" s="1" t="s">
        <v>22</v>
      </c>
      <c r="J3" s="1" t="s">
        <v>101</v>
      </c>
      <c r="K3" s="10">
        <v>16800</v>
      </c>
      <c r="L3" s="1" t="s">
        <v>20</v>
      </c>
      <c r="M3" s="37">
        <v>46042</v>
      </c>
      <c r="N3" s="1" t="str">
        <f t="shared" si="0"/>
        <v>JANEIRO</v>
      </c>
      <c r="O3" s="1" t="str">
        <f t="shared" si="1"/>
        <v>3ª semana</v>
      </c>
      <c r="P3" s="1" t="str">
        <f t="shared" si="2"/>
        <v>3ª semana</v>
      </c>
    </row>
    <row r="4" spans="1:16" x14ac:dyDescent="0.25">
      <c r="A4" s="37">
        <v>46037</v>
      </c>
      <c r="B4" s="1" t="s">
        <v>14</v>
      </c>
      <c r="C4" s="39" t="s">
        <v>104</v>
      </c>
      <c r="D4" s="39" t="s">
        <v>202</v>
      </c>
      <c r="E4" s="1" t="s">
        <v>29</v>
      </c>
      <c r="F4" s="1" t="s">
        <v>16</v>
      </c>
      <c r="G4" s="1" t="s">
        <v>17</v>
      </c>
      <c r="H4" s="1" t="s">
        <v>227</v>
      </c>
      <c r="I4" s="1" t="s">
        <v>105</v>
      </c>
      <c r="J4" s="1" t="s">
        <v>101</v>
      </c>
      <c r="K4" s="10">
        <v>26520</v>
      </c>
      <c r="L4" s="1" t="s">
        <v>23</v>
      </c>
      <c r="M4" s="37">
        <v>46045</v>
      </c>
      <c r="N4" s="1" t="str">
        <f t="shared" si="0"/>
        <v>JANEIRO</v>
      </c>
      <c r="O4" s="1" t="str">
        <f t="shared" si="1"/>
        <v>3ª semana</v>
      </c>
      <c r="P4" s="1" t="str">
        <f t="shared" si="2"/>
        <v>4ª semana</v>
      </c>
    </row>
    <row r="5" spans="1:16" x14ac:dyDescent="0.25">
      <c r="A5" s="37">
        <v>46037</v>
      </c>
      <c r="B5" s="1" t="s">
        <v>41</v>
      </c>
      <c r="C5" s="39" t="s">
        <v>229</v>
      </c>
      <c r="D5" s="39" t="s">
        <v>203</v>
      </c>
      <c r="E5" s="1" t="s">
        <v>37</v>
      </c>
      <c r="F5" s="1" t="s">
        <v>16</v>
      </c>
      <c r="G5" s="1" t="s">
        <v>17</v>
      </c>
      <c r="H5" s="1" t="s">
        <v>226</v>
      </c>
      <c r="I5" s="1" t="s">
        <v>105</v>
      </c>
      <c r="J5" s="1" t="s">
        <v>101</v>
      </c>
      <c r="K5" s="10">
        <v>29244</v>
      </c>
      <c r="L5" s="1" t="s">
        <v>23</v>
      </c>
      <c r="M5" s="37">
        <v>46037</v>
      </c>
      <c r="N5" s="1" t="str">
        <f t="shared" si="0"/>
        <v>JANEIRO</v>
      </c>
      <c r="O5" s="1" t="str">
        <f t="shared" si="1"/>
        <v>3ª semana</v>
      </c>
      <c r="P5" s="1" t="str">
        <f t="shared" si="2"/>
        <v>3ª semana</v>
      </c>
    </row>
    <row r="6" spans="1:16" x14ac:dyDescent="0.25">
      <c r="A6" s="37">
        <v>46041</v>
      </c>
      <c r="B6" s="1" t="s">
        <v>24</v>
      </c>
      <c r="C6" s="39" t="s">
        <v>106</v>
      </c>
      <c r="D6" s="39" t="s">
        <v>204</v>
      </c>
      <c r="E6" s="1" t="s">
        <v>32</v>
      </c>
      <c r="F6" s="1" t="s">
        <v>16</v>
      </c>
      <c r="G6" s="1" t="s">
        <v>39</v>
      </c>
      <c r="H6" s="1" t="s">
        <v>19</v>
      </c>
      <c r="I6" s="1" t="s">
        <v>22</v>
      </c>
      <c r="J6" s="1" t="s">
        <v>101</v>
      </c>
      <c r="K6" s="10">
        <v>65181.599999999999</v>
      </c>
      <c r="L6" s="1" t="s">
        <v>20</v>
      </c>
      <c r="M6" s="37">
        <v>46041</v>
      </c>
      <c r="N6" s="1" t="str">
        <f t="shared" si="0"/>
        <v>JANEIRO</v>
      </c>
      <c r="O6" s="1" t="str">
        <f t="shared" si="1"/>
        <v>3ª semana</v>
      </c>
      <c r="P6" s="1" t="str">
        <f t="shared" si="2"/>
        <v>3ª semana</v>
      </c>
    </row>
    <row r="7" spans="1:16" x14ac:dyDescent="0.25">
      <c r="A7" s="37">
        <v>46042</v>
      </c>
      <c r="B7" s="1" t="s">
        <v>33</v>
      </c>
      <c r="C7" s="39" t="s">
        <v>34</v>
      </c>
      <c r="D7" s="39" t="s">
        <v>204</v>
      </c>
      <c r="E7" s="1" t="s">
        <v>15</v>
      </c>
      <c r="F7" s="1" t="s">
        <v>16</v>
      </c>
      <c r="G7" s="1" t="s">
        <v>39</v>
      </c>
      <c r="H7" s="1" t="s">
        <v>226</v>
      </c>
      <c r="I7" s="1" t="s">
        <v>107</v>
      </c>
      <c r="J7" s="1" t="s">
        <v>101</v>
      </c>
      <c r="K7" s="10">
        <v>1900</v>
      </c>
      <c r="L7" s="1" t="s">
        <v>23</v>
      </c>
      <c r="M7" s="37">
        <v>46042</v>
      </c>
      <c r="N7" s="1" t="str">
        <f t="shared" si="0"/>
        <v>JANEIRO</v>
      </c>
      <c r="O7" s="1" t="str">
        <f t="shared" si="1"/>
        <v>3ª semana</v>
      </c>
      <c r="P7" s="1" t="str">
        <f t="shared" si="2"/>
        <v>3ª semana</v>
      </c>
    </row>
    <row r="8" spans="1:16" x14ac:dyDescent="0.25">
      <c r="A8" s="37">
        <v>46042</v>
      </c>
      <c r="B8" s="1" t="s">
        <v>24</v>
      </c>
      <c r="C8" s="39" t="s">
        <v>106</v>
      </c>
      <c r="D8" s="39" t="s">
        <v>204</v>
      </c>
      <c r="E8" s="1" t="s">
        <v>32</v>
      </c>
      <c r="F8" s="1" t="s">
        <v>16</v>
      </c>
      <c r="G8" s="1" t="s">
        <v>39</v>
      </c>
      <c r="H8" s="1" t="s">
        <v>19</v>
      </c>
      <c r="I8" s="1" t="s">
        <v>105</v>
      </c>
      <c r="J8" s="1" t="s">
        <v>101</v>
      </c>
      <c r="K8" s="10">
        <v>10079.280000000001</v>
      </c>
      <c r="L8" s="1" t="s">
        <v>20</v>
      </c>
      <c r="M8" s="37">
        <v>46041</v>
      </c>
      <c r="N8" s="1" t="str">
        <f t="shared" si="0"/>
        <v>JANEIRO</v>
      </c>
      <c r="O8" s="1" t="str">
        <f t="shared" si="1"/>
        <v>3ª semana</v>
      </c>
      <c r="P8" s="1" t="str">
        <f t="shared" si="2"/>
        <v>3ª semana</v>
      </c>
    </row>
    <row r="9" spans="1:16" x14ac:dyDescent="0.25">
      <c r="A9" s="37">
        <v>46043</v>
      </c>
      <c r="B9" s="1" t="s">
        <v>21</v>
      </c>
      <c r="C9" s="39" t="s">
        <v>88</v>
      </c>
      <c r="D9" s="39" t="s">
        <v>205</v>
      </c>
      <c r="E9" s="1" t="s">
        <v>29</v>
      </c>
      <c r="F9" s="1" t="s">
        <v>16</v>
      </c>
      <c r="G9" s="1" t="s">
        <v>39</v>
      </c>
      <c r="H9" s="1" t="s">
        <v>227</v>
      </c>
      <c r="I9" s="1" t="s">
        <v>105</v>
      </c>
      <c r="J9" s="1" t="s">
        <v>101</v>
      </c>
      <c r="K9" s="10">
        <f>14400*12</f>
        <v>172800</v>
      </c>
      <c r="L9" s="1" t="s">
        <v>20</v>
      </c>
      <c r="M9" s="37">
        <v>46057</v>
      </c>
      <c r="N9" s="1" t="str">
        <f t="shared" si="0"/>
        <v>JANEIRO</v>
      </c>
      <c r="O9" s="1" t="str">
        <f t="shared" si="1"/>
        <v>3ª semana</v>
      </c>
      <c r="P9" s="1" t="str">
        <f t="shared" si="2"/>
        <v>1ª semana</v>
      </c>
    </row>
    <row r="10" spans="1:16" x14ac:dyDescent="0.25">
      <c r="A10" s="37">
        <v>46045</v>
      </c>
      <c r="B10" s="1" t="s">
        <v>108</v>
      </c>
      <c r="C10" s="39" t="s">
        <v>28</v>
      </c>
      <c r="D10" s="39" t="s">
        <v>206</v>
      </c>
      <c r="E10" s="1" t="s">
        <v>29</v>
      </c>
      <c r="F10" s="1" t="s">
        <v>16</v>
      </c>
      <c r="G10" s="1" t="s">
        <v>17</v>
      </c>
      <c r="H10" s="1" t="s">
        <v>227</v>
      </c>
      <c r="I10" s="1" t="s">
        <v>105</v>
      </c>
      <c r="J10" s="1" t="s">
        <v>101</v>
      </c>
      <c r="K10" s="10">
        <v>25245</v>
      </c>
      <c r="L10" s="1" t="s">
        <v>20</v>
      </c>
      <c r="M10" s="37">
        <v>46051</v>
      </c>
      <c r="N10" s="1" t="str">
        <f t="shared" si="0"/>
        <v>JANEIRO</v>
      </c>
      <c r="O10" s="1" t="str">
        <f t="shared" si="1"/>
        <v>4ª semana</v>
      </c>
      <c r="P10" s="1" t="str">
        <f t="shared" si="2"/>
        <v>5ª semana</v>
      </c>
    </row>
    <row r="11" spans="1:16" x14ac:dyDescent="0.25">
      <c r="A11" s="37">
        <v>46052</v>
      </c>
      <c r="B11" s="1" t="s">
        <v>30</v>
      </c>
      <c r="C11" s="39" t="s">
        <v>49</v>
      </c>
      <c r="D11" s="39" t="s">
        <v>31</v>
      </c>
      <c r="E11" s="1" t="s">
        <v>15</v>
      </c>
      <c r="F11" s="1" t="s">
        <v>16</v>
      </c>
      <c r="G11" s="1" t="s">
        <v>17</v>
      </c>
      <c r="H11" s="1" t="s">
        <v>226</v>
      </c>
      <c r="I11" s="1" t="s">
        <v>105</v>
      </c>
      <c r="J11" s="1" t="s">
        <v>101</v>
      </c>
      <c r="K11" s="10">
        <v>5154.2299999999996</v>
      </c>
      <c r="L11" s="1" t="s">
        <v>23</v>
      </c>
      <c r="M11" s="37">
        <v>46058</v>
      </c>
      <c r="N11" s="1" t="str">
        <f t="shared" si="0"/>
        <v>JANEIRO</v>
      </c>
      <c r="O11" s="1" t="str">
        <f t="shared" si="1"/>
        <v>5ª semana</v>
      </c>
      <c r="P11" s="1" t="str">
        <f t="shared" si="2"/>
        <v>1ª semana</v>
      </c>
    </row>
    <row r="12" spans="1:16" x14ac:dyDescent="0.25">
      <c r="A12" s="37">
        <v>46055</v>
      </c>
      <c r="B12" s="1" t="s">
        <v>41</v>
      </c>
      <c r="C12" s="39" t="s">
        <v>229</v>
      </c>
      <c r="D12" s="39" t="s">
        <v>207</v>
      </c>
      <c r="E12" s="1" t="s">
        <v>37</v>
      </c>
      <c r="F12" s="1" t="s">
        <v>16</v>
      </c>
      <c r="G12" s="1" t="s">
        <v>17</v>
      </c>
      <c r="H12" s="1" t="s">
        <v>226</v>
      </c>
      <c r="I12" s="1" t="s">
        <v>105</v>
      </c>
      <c r="J12" s="1" t="s">
        <v>101</v>
      </c>
      <c r="K12" s="10">
        <v>33265.65</v>
      </c>
      <c r="L12" s="1" t="s">
        <v>23</v>
      </c>
      <c r="M12" s="37">
        <v>46058</v>
      </c>
      <c r="N12" s="1" t="str">
        <f t="shared" si="0"/>
        <v>FEVEREIRO</v>
      </c>
      <c r="O12" s="1" t="str">
        <f t="shared" si="1"/>
        <v>1ª semana</v>
      </c>
      <c r="P12" s="1" t="str">
        <f t="shared" si="2"/>
        <v>1ª semana</v>
      </c>
    </row>
    <row r="13" spans="1:16" x14ac:dyDescent="0.25">
      <c r="A13" s="37">
        <v>46055</v>
      </c>
      <c r="B13" s="1" t="s">
        <v>109</v>
      </c>
      <c r="C13" s="39" t="s">
        <v>110</v>
      </c>
      <c r="D13" s="39" t="s">
        <v>208</v>
      </c>
      <c r="E13" s="1" t="s">
        <v>29</v>
      </c>
      <c r="F13" s="1" t="s">
        <v>16</v>
      </c>
      <c r="G13" s="1" t="s">
        <v>17</v>
      </c>
      <c r="H13" s="1" t="s">
        <v>227</v>
      </c>
      <c r="I13" s="1" t="s">
        <v>105</v>
      </c>
      <c r="J13" s="1" t="s">
        <v>101</v>
      </c>
      <c r="K13" s="10">
        <v>50000</v>
      </c>
      <c r="L13" s="1" t="s">
        <v>20</v>
      </c>
      <c r="M13" s="37">
        <v>46057</v>
      </c>
      <c r="N13" s="1" t="str">
        <f t="shared" si="0"/>
        <v>FEVEREIRO</v>
      </c>
      <c r="O13" s="1" t="str">
        <f t="shared" si="1"/>
        <v>1ª semana</v>
      </c>
      <c r="P13" s="1" t="str">
        <f t="shared" si="2"/>
        <v>1ª semana</v>
      </c>
    </row>
    <row r="14" spans="1:16" x14ac:dyDescent="0.25">
      <c r="A14" s="37">
        <v>46058</v>
      </c>
      <c r="B14" s="1" t="s">
        <v>111</v>
      </c>
      <c r="C14" s="39" t="s">
        <v>38</v>
      </c>
      <c r="D14" s="39" t="s">
        <v>217</v>
      </c>
      <c r="E14" s="1" t="s">
        <v>15</v>
      </c>
      <c r="F14" s="1" t="s">
        <v>16</v>
      </c>
      <c r="G14" s="1" t="s">
        <v>17</v>
      </c>
      <c r="H14" s="1" t="s">
        <v>19</v>
      </c>
      <c r="I14" s="1" t="s">
        <v>135</v>
      </c>
      <c r="J14" s="1" t="s">
        <v>101</v>
      </c>
      <c r="K14" s="10">
        <v>0</v>
      </c>
      <c r="L14" s="1" t="s">
        <v>20</v>
      </c>
      <c r="M14" s="37">
        <v>46073</v>
      </c>
      <c r="N14" s="1" t="str">
        <f t="shared" si="0"/>
        <v>FEVEREIRO</v>
      </c>
      <c r="O14" s="1" t="str">
        <f t="shared" si="1"/>
        <v>1ª semana</v>
      </c>
      <c r="P14" s="1" t="str">
        <f t="shared" si="2"/>
        <v>3ª semana</v>
      </c>
    </row>
    <row r="15" spans="1:16" x14ac:dyDescent="0.25">
      <c r="A15" s="37">
        <v>46058</v>
      </c>
      <c r="B15" s="1" t="s">
        <v>35</v>
      </c>
      <c r="C15" s="39" t="s">
        <v>40</v>
      </c>
      <c r="D15" s="39" t="s">
        <v>204</v>
      </c>
      <c r="E15" s="1" t="s">
        <v>15</v>
      </c>
      <c r="F15" s="1" t="s">
        <v>16</v>
      </c>
      <c r="G15" s="1" t="s">
        <v>17</v>
      </c>
      <c r="H15" s="1" t="s">
        <v>226</v>
      </c>
      <c r="I15" s="1" t="s">
        <v>107</v>
      </c>
      <c r="J15" s="1" t="s">
        <v>101</v>
      </c>
      <c r="K15" s="10">
        <v>3050</v>
      </c>
      <c r="L15" s="1" t="s">
        <v>23</v>
      </c>
      <c r="M15" s="37">
        <v>46073</v>
      </c>
      <c r="N15" s="1" t="str">
        <f t="shared" si="0"/>
        <v>FEVEREIRO</v>
      </c>
      <c r="O15" s="1" t="str">
        <f t="shared" si="1"/>
        <v>1ª semana</v>
      </c>
      <c r="P15" s="1" t="str">
        <f t="shared" si="2"/>
        <v>3ª semana</v>
      </c>
    </row>
    <row r="16" spans="1:16" x14ac:dyDescent="0.25">
      <c r="A16" s="37">
        <v>46062</v>
      </c>
      <c r="B16" s="1" t="s">
        <v>30</v>
      </c>
      <c r="C16" s="39" t="s">
        <v>31</v>
      </c>
      <c r="D16" s="39" t="s">
        <v>202</v>
      </c>
      <c r="E16" s="1" t="s">
        <v>15</v>
      </c>
      <c r="F16" s="1" t="s">
        <v>16</v>
      </c>
      <c r="G16" s="1" t="s">
        <v>17</v>
      </c>
      <c r="H16" s="1" t="s">
        <v>226</v>
      </c>
      <c r="I16" s="1" t="s">
        <v>105</v>
      </c>
      <c r="J16" s="1" t="s">
        <v>101</v>
      </c>
      <c r="K16" s="10">
        <v>15733.41</v>
      </c>
      <c r="L16" s="1" t="s">
        <v>23</v>
      </c>
      <c r="M16" s="37">
        <v>46071</v>
      </c>
      <c r="N16" s="1" t="str">
        <f t="shared" si="0"/>
        <v>FEVEREIRO</v>
      </c>
      <c r="O16" s="1" t="str">
        <f t="shared" si="1"/>
        <v>2ª semana</v>
      </c>
      <c r="P16" s="1" t="str">
        <f t="shared" si="2"/>
        <v>3ª semana</v>
      </c>
    </row>
    <row r="17" spans="1:16" x14ac:dyDescent="0.25">
      <c r="A17" s="37">
        <v>46062</v>
      </c>
      <c r="B17" s="39" t="s">
        <v>113</v>
      </c>
      <c r="C17" s="1" t="s">
        <v>112</v>
      </c>
      <c r="D17" s="1" t="s">
        <v>209</v>
      </c>
      <c r="E17" s="1" t="s">
        <v>32</v>
      </c>
      <c r="F17" s="1" t="s">
        <v>16</v>
      </c>
      <c r="G17" s="1" t="s">
        <v>39</v>
      </c>
      <c r="H17" s="1" t="s">
        <v>19</v>
      </c>
      <c r="I17" s="1" t="s">
        <v>105</v>
      </c>
      <c r="J17" s="1" t="s">
        <v>101</v>
      </c>
      <c r="K17" s="10">
        <v>6820</v>
      </c>
      <c r="L17" s="1" t="s">
        <v>23</v>
      </c>
      <c r="M17" s="37">
        <v>46062</v>
      </c>
      <c r="N17" s="1" t="str">
        <f t="shared" si="0"/>
        <v>FEVEREIRO</v>
      </c>
      <c r="O17" s="1" t="str">
        <f t="shared" si="1"/>
        <v>2ª semana</v>
      </c>
      <c r="P17" s="1" t="str">
        <f t="shared" si="2"/>
        <v>2ª semana</v>
      </c>
    </row>
    <row r="18" spans="1:16" x14ac:dyDescent="0.25">
      <c r="A18" s="37">
        <v>46063</v>
      </c>
      <c r="B18" s="1" t="s">
        <v>43</v>
      </c>
      <c r="C18" s="39" t="s">
        <v>114</v>
      </c>
      <c r="D18" s="39" t="s">
        <v>217</v>
      </c>
      <c r="E18" s="1" t="s">
        <v>32</v>
      </c>
      <c r="F18" s="1" t="s">
        <v>16</v>
      </c>
      <c r="G18" s="1" t="s">
        <v>39</v>
      </c>
      <c r="H18" s="1" t="s">
        <v>19</v>
      </c>
      <c r="I18" s="1" t="s">
        <v>105</v>
      </c>
      <c r="J18" s="1" t="s">
        <v>101</v>
      </c>
      <c r="K18" s="10">
        <v>24478.28</v>
      </c>
      <c r="L18" s="1" t="s">
        <v>20</v>
      </c>
      <c r="M18" s="37">
        <v>46064</v>
      </c>
      <c r="N18" s="1" t="str">
        <f t="shared" si="0"/>
        <v>FEVEREIRO</v>
      </c>
      <c r="O18" s="1" t="str">
        <f t="shared" si="1"/>
        <v>2ª semana</v>
      </c>
      <c r="P18" s="1" t="str">
        <f t="shared" si="2"/>
        <v>2ª semana</v>
      </c>
    </row>
    <row r="19" spans="1:16" x14ac:dyDescent="0.25">
      <c r="A19" s="37">
        <v>46064</v>
      </c>
      <c r="B19" s="1" t="s">
        <v>44</v>
      </c>
      <c r="C19" s="39" t="s">
        <v>45</v>
      </c>
      <c r="D19" s="39" t="s">
        <v>211</v>
      </c>
      <c r="E19" s="1" t="s">
        <v>29</v>
      </c>
      <c r="F19" s="1" t="s">
        <v>16</v>
      </c>
      <c r="G19" s="1" t="s">
        <v>17</v>
      </c>
      <c r="H19" s="1" t="s">
        <v>19</v>
      </c>
      <c r="I19" s="1" t="s">
        <v>105</v>
      </c>
      <c r="J19" s="1" t="s">
        <v>101</v>
      </c>
      <c r="K19" s="10">
        <v>36499.440000000002</v>
      </c>
      <c r="L19" s="1" t="s">
        <v>23</v>
      </c>
      <c r="M19" s="37">
        <v>46065</v>
      </c>
      <c r="N19" s="1" t="str">
        <f t="shared" si="0"/>
        <v>FEVEREIRO</v>
      </c>
      <c r="O19" s="1" t="str">
        <f t="shared" si="1"/>
        <v>2ª semana</v>
      </c>
      <c r="P19" s="1" t="str">
        <f t="shared" si="2"/>
        <v>2ª semana</v>
      </c>
    </row>
    <row r="20" spans="1:16" x14ac:dyDescent="0.25">
      <c r="A20" s="37">
        <v>46065</v>
      </c>
      <c r="B20" s="1" t="s">
        <v>26</v>
      </c>
      <c r="C20" s="39" t="s">
        <v>27</v>
      </c>
      <c r="D20" s="39" t="s">
        <v>31</v>
      </c>
      <c r="E20" s="1" t="s">
        <v>15</v>
      </c>
      <c r="F20" s="1" t="s">
        <v>16</v>
      </c>
      <c r="G20" s="1" t="s">
        <v>39</v>
      </c>
      <c r="H20" s="1" t="s">
        <v>19</v>
      </c>
      <c r="I20" s="1" t="s">
        <v>105</v>
      </c>
      <c r="J20" s="1" t="s">
        <v>101</v>
      </c>
      <c r="K20" s="10">
        <v>7724</v>
      </c>
      <c r="L20" s="1" t="s">
        <v>23</v>
      </c>
      <c r="M20" s="37">
        <v>46065</v>
      </c>
      <c r="N20" s="1" t="str">
        <f t="shared" si="0"/>
        <v>FEVEREIRO</v>
      </c>
      <c r="O20" s="1" t="str">
        <f t="shared" si="1"/>
        <v>2ª semana</v>
      </c>
      <c r="P20" s="1" t="str">
        <f t="shared" si="2"/>
        <v>2ª semana</v>
      </c>
    </row>
    <row r="21" spans="1:16" x14ac:dyDescent="0.25">
      <c r="A21" s="37">
        <v>46065</v>
      </c>
      <c r="B21" s="1" t="s">
        <v>157</v>
      </c>
      <c r="C21" s="39" t="s">
        <v>158</v>
      </c>
      <c r="D21" s="39" t="s">
        <v>210</v>
      </c>
      <c r="E21" s="1" t="s">
        <v>37</v>
      </c>
      <c r="F21" s="1" t="s">
        <v>16</v>
      </c>
      <c r="G21" s="1" t="s">
        <v>39</v>
      </c>
      <c r="H21" s="1" t="s">
        <v>19</v>
      </c>
      <c r="I21" s="1" t="s">
        <v>22</v>
      </c>
      <c r="J21" s="1" t="s">
        <v>101</v>
      </c>
      <c r="K21" s="10">
        <f>3100*12</f>
        <v>37200</v>
      </c>
      <c r="L21" s="1" t="s">
        <v>20</v>
      </c>
      <c r="M21" s="37">
        <v>46084</v>
      </c>
      <c r="N21" s="1" t="str">
        <f t="shared" si="0"/>
        <v>FEVEREIRO</v>
      </c>
      <c r="O21" s="1" t="str">
        <f t="shared" si="1"/>
        <v>2ª semana</v>
      </c>
      <c r="P21" s="1" t="str">
        <f t="shared" si="2"/>
        <v>1ª semana</v>
      </c>
    </row>
    <row r="22" spans="1:16" x14ac:dyDescent="0.25">
      <c r="A22" s="37">
        <v>46065</v>
      </c>
      <c r="B22" s="1" t="s">
        <v>157</v>
      </c>
      <c r="C22" s="39" t="s">
        <v>158</v>
      </c>
      <c r="D22" s="39" t="s">
        <v>210</v>
      </c>
      <c r="E22" s="1" t="s">
        <v>37</v>
      </c>
      <c r="F22" s="1" t="s">
        <v>16</v>
      </c>
      <c r="G22" s="1" t="s">
        <v>39</v>
      </c>
      <c r="H22" s="1" t="s">
        <v>19</v>
      </c>
      <c r="I22" s="1" t="s">
        <v>128</v>
      </c>
      <c r="J22" s="1" t="s">
        <v>101</v>
      </c>
      <c r="K22" s="10">
        <f>3600*12</f>
        <v>43200</v>
      </c>
      <c r="L22" s="1" t="s">
        <v>23</v>
      </c>
      <c r="M22" s="37">
        <v>46084</v>
      </c>
      <c r="N22" s="1" t="str">
        <f t="shared" si="0"/>
        <v>FEVEREIRO</v>
      </c>
      <c r="O22" s="1" t="str">
        <f t="shared" si="1"/>
        <v>2ª semana</v>
      </c>
      <c r="P22" s="1" t="str">
        <f t="shared" si="2"/>
        <v>1ª semana</v>
      </c>
    </row>
    <row r="23" spans="1:16" x14ac:dyDescent="0.25">
      <c r="A23" s="37">
        <v>46073</v>
      </c>
      <c r="B23" s="1" t="s">
        <v>25</v>
      </c>
      <c r="C23" s="39" t="s">
        <v>115</v>
      </c>
      <c r="D23" s="39" t="s">
        <v>204</v>
      </c>
      <c r="E23" s="1" t="s">
        <v>32</v>
      </c>
      <c r="F23" s="1" t="s">
        <v>16</v>
      </c>
      <c r="G23" s="1" t="s">
        <v>39</v>
      </c>
      <c r="H23" s="1" t="s">
        <v>19</v>
      </c>
      <c r="I23" s="1" t="s">
        <v>22</v>
      </c>
      <c r="J23" s="1" t="s">
        <v>101</v>
      </c>
      <c r="K23" s="10">
        <v>4494</v>
      </c>
      <c r="L23" s="1" t="s">
        <v>20</v>
      </c>
      <c r="M23" s="37">
        <v>46073</v>
      </c>
      <c r="N23" s="1" t="str">
        <f t="shared" si="0"/>
        <v>FEVEREIRO</v>
      </c>
      <c r="O23" s="1" t="str">
        <f t="shared" si="1"/>
        <v>3ª semana</v>
      </c>
      <c r="P23" s="1" t="str">
        <f t="shared" si="2"/>
        <v>3ª semana</v>
      </c>
    </row>
    <row r="24" spans="1:16" x14ac:dyDescent="0.25">
      <c r="A24" s="37">
        <v>46073</v>
      </c>
      <c r="B24" s="1" t="s">
        <v>116</v>
      </c>
      <c r="C24" s="39" t="s">
        <v>117</v>
      </c>
      <c r="D24" s="39" t="s">
        <v>209</v>
      </c>
      <c r="E24" s="1" t="s">
        <v>118</v>
      </c>
      <c r="F24" s="1" t="s">
        <v>16</v>
      </c>
      <c r="G24" s="1" t="s">
        <v>39</v>
      </c>
      <c r="H24" s="1" t="s">
        <v>19</v>
      </c>
      <c r="I24" s="1" t="s">
        <v>105</v>
      </c>
      <c r="J24" s="1" t="s">
        <v>101</v>
      </c>
      <c r="K24" s="10">
        <v>39276.97</v>
      </c>
      <c r="L24" s="1" t="s">
        <v>23</v>
      </c>
      <c r="M24" s="37">
        <v>46076</v>
      </c>
      <c r="N24" s="1" t="str">
        <f t="shared" si="0"/>
        <v>FEVEREIRO</v>
      </c>
      <c r="O24" s="1" t="str">
        <f t="shared" si="1"/>
        <v>3ª semana</v>
      </c>
      <c r="P24" s="1" t="str">
        <f t="shared" si="2"/>
        <v>4ª semana</v>
      </c>
    </row>
    <row r="25" spans="1:16" x14ac:dyDescent="0.25">
      <c r="A25" s="37">
        <v>46080</v>
      </c>
      <c r="B25" s="1" t="s">
        <v>33</v>
      </c>
      <c r="C25" s="39" t="s">
        <v>159</v>
      </c>
      <c r="D25" s="39" t="s">
        <v>204</v>
      </c>
      <c r="E25" s="1" t="s">
        <v>37</v>
      </c>
      <c r="F25" s="1" t="s">
        <v>16</v>
      </c>
      <c r="G25" s="1" t="s">
        <v>36</v>
      </c>
      <c r="H25" s="1" t="s">
        <v>19</v>
      </c>
      <c r="I25" s="1" t="s">
        <v>22</v>
      </c>
      <c r="J25" s="1" t="s">
        <v>101</v>
      </c>
      <c r="K25" s="10">
        <f>3728*12</f>
        <v>44736</v>
      </c>
      <c r="L25" s="1" t="s">
        <v>20</v>
      </c>
      <c r="M25" s="37">
        <v>46086</v>
      </c>
      <c r="N25" s="1" t="str">
        <f t="shared" si="0"/>
        <v>FEVEREIRO</v>
      </c>
      <c r="O25" s="1" t="str">
        <f t="shared" si="1"/>
        <v>4ª semana</v>
      </c>
      <c r="P25" s="1" t="str">
        <f t="shared" si="2"/>
        <v>1ª semana</v>
      </c>
    </row>
    <row r="26" spans="1:16" x14ac:dyDescent="0.25">
      <c r="A26" s="37">
        <v>46084</v>
      </c>
      <c r="B26" s="1" t="s">
        <v>155</v>
      </c>
      <c r="C26" s="39" t="s">
        <v>156</v>
      </c>
      <c r="D26" s="39" t="s">
        <v>209</v>
      </c>
      <c r="E26" s="1" t="s">
        <v>15</v>
      </c>
      <c r="F26" s="1" t="s">
        <v>16</v>
      </c>
      <c r="G26" s="1" t="s">
        <v>39</v>
      </c>
      <c r="H26" s="1" t="s">
        <v>19</v>
      </c>
      <c r="I26" s="1" t="s">
        <v>105</v>
      </c>
      <c r="J26" s="1" t="s">
        <v>101</v>
      </c>
      <c r="K26" s="10">
        <v>12613.2</v>
      </c>
      <c r="L26" s="1" t="s">
        <v>23</v>
      </c>
      <c r="M26" s="37">
        <v>46084</v>
      </c>
      <c r="N26" s="1" t="str">
        <f t="shared" si="0"/>
        <v>MARÇO</v>
      </c>
      <c r="O26" s="1" t="str">
        <f t="shared" si="1"/>
        <v>1ª semana</v>
      </c>
      <c r="P26" s="1" t="str">
        <f t="shared" si="2"/>
        <v>1ª semana</v>
      </c>
    </row>
    <row r="27" spans="1:16" x14ac:dyDescent="0.25">
      <c r="A27" s="37">
        <v>46090</v>
      </c>
      <c r="B27" s="1" t="s">
        <v>160</v>
      </c>
      <c r="C27" s="39" t="s">
        <v>161</v>
      </c>
      <c r="D27" s="39" t="s">
        <v>204</v>
      </c>
      <c r="E27" s="1" t="s">
        <v>37</v>
      </c>
      <c r="F27" s="1" t="s">
        <v>16</v>
      </c>
      <c r="G27" s="1" t="s">
        <v>39</v>
      </c>
      <c r="H27" s="1" t="s">
        <v>19</v>
      </c>
      <c r="I27" s="1" t="s">
        <v>107</v>
      </c>
      <c r="J27" s="1" t="s">
        <v>101</v>
      </c>
      <c r="K27" s="10">
        <v>3500</v>
      </c>
      <c r="L27" s="1" t="s">
        <v>23</v>
      </c>
      <c r="M27" s="37">
        <v>46090</v>
      </c>
      <c r="N27" s="1" t="str">
        <f t="shared" si="0"/>
        <v>MARÇO</v>
      </c>
      <c r="O27" s="1" t="str">
        <f t="shared" si="1"/>
        <v>2ª semana</v>
      </c>
      <c r="P27" s="1" t="str">
        <f t="shared" si="2"/>
        <v>2ª semana</v>
      </c>
    </row>
    <row r="28" spans="1:16" x14ac:dyDescent="0.25">
      <c r="A28" s="37">
        <v>46097</v>
      </c>
      <c r="B28" s="1" t="s">
        <v>162</v>
      </c>
      <c r="C28" s="39" t="s">
        <v>137</v>
      </c>
      <c r="D28" s="39" t="s">
        <v>212</v>
      </c>
      <c r="E28" s="1" t="s">
        <v>37</v>
      </c>
      <c r="F28" s="1" t="s">
        <v>16</v>
      </c>
      <c r="G28" s="1" t="s">
        <v>17</v>
      </c>
      <c r="H28" s="1" t="s">
        <v>19</v>
      </c>
      <c r="I28" s="1" t="s">
        <v>50</v>
      </c>
      <c r="J28" s="1" t="s">
        <v>101</v>
      </c>
      <c r="K28" s="10">
        <v>6502.69</v>
      </c>
      <c r="L28" s="1" t="s">
        <v>23</v>
      </c>
      <c r="M28" s="37">
        <v>46111</v>
      </c>
      <c r="N28" s="1" t="str">
        <f t="shared" si="0"/>
        <v>MARÇO</v>
      </c>
      <c r="O28" s="1" t="str">
        <f t="shared" si="1"/>
        <v>3ª semana</v>
      </c>
      <c r="P28" s="1" t="str">
        <f t="shared" si="2"/>
        <v>5ª semana</v>
      </c>
    </row>
    <row r="29" spans="1:16" x14ac:dyDescent="0.25">
      <c r="A29" s="37">
        <v>46099</v>
      </c>
      <c r="B29" s="1" t="s">
        <v>163</v>
      </c>
      <c r="C29" s="39" t="s">
        <v>164</v>
      </c>
      <c r="D29" s="39" t="s">
        <v>202</v>
      </c>
      <c r="E29" s="1" t="s">
        <v>37</v>
      </c>
      <c r="F29" s="1" t="s">
        <v>16</v>
      </c>
      <c r="G29" s="1" t="s">
        <v>17</v>
      </c>
      <c r="H29" s="1" t="s">
        <v>19</v>
      </c>
      <c r="I29" s="1" t="s">
        <v>105</v>
      </c>
      <c r="J29" s="1" t="s">
        <v>101</v>
      </c>
      <c r="K29" s="10">
        <f>36724.44*12</f>
        <v>440693.28</v>
      </c>
      <c r="L29" s="1" t="s">
        <v>20</v>
      </c>
      <c r="M29" s="37">
        <v>46099</v>
      </c>
      <c r="N29" s="1" t="str">
        <f t="shared" si="0"/>
        <v>MARÇO</v>
      </c>
      <c r="O29" s="1" t="str">
        <f t="shared" si="1"/>
        <v>3ª semana</v>
      </c>
      <c r="P29" s="1" t="str">
        <f t="shared" si="2"/>
        <v>3ª semana</v>
      </c>
    </row>
    <row r="30" spans="1:16" x14ac:dyDescent="0.25">
      <c r="A30" s="37">
        <v>46101</v>
      </c>
      <c r="B30" s="1" t="s">
        <v>165</v>
      </c>
      <c r="C30" s="39" t="s">
        <v>166</v>
      </c>
      <c r="D30" s="39" t="s">
        <v>202</v>
      </c>
      <c r="E30" s="1" t="s">
        <v>37</v>
      </c>
      <c r="F30" s="1" t="s">
        <v>16</v>
      </c>
      <c r="G30" s="1" t="s">
        <v>39</v>
      </c>
      <c r="H30" s="1" t="s">
        <v>19</v>
      </c>
      <c r="I30" s="1" t="s">
        <v>105</v>
      </c>
      <c r="J30" s="1" t="s">
        <v>101</v>
      </c>
      <c r="K30" s="10">
        <v>24434.86</v>
      </c>
      <c r="L30" s="1" t="s">
        <v>23</v>
      </c>
      <c r="M30" s="37">
        <v>46101</v>
      </c>
      <c r="N30" s="1" t="str">
        <f t="shared" si="0"/>
        <v>MARÇO</v>
      </c>
      <c r="O30" s="1" t="str">
        <f t="shared" si="1"/>
        <v>3ª semana</v>
      </c>
      <c r="P30" s="1" t="str">
        <f t="shared" si="2"/>
        <v>3ª semana</v>
      </c>
    </row>
    <row r="31" spans="1:16" x14ac:dyDescent="0.25">
      <c r="A31" s="37">
        <v>46107</v>
      </c>
      <c r="B31" s="1" t="s">
        <v>167</v>
      </c>
      <c r="C31" s="39" t="s">
        <v>230</v>
      </c>
      <c r="D31" s="39" t="s">
        <v>213</v>
      </c>
      <c r="E31" s="1" t="s">
        <v>15</v>
      </c>
      <c r="F31" s="1" t="s">
        <v>16</v>
      </c>
      <c r="G31" s="1" t="s">
        <v>36</v>
      </c>
      <c r="H31" s="1" t="s">
        <v>19</v>
      </c>
      <c r="I31" s="1" t="s">
        <v>107</v>
      </c>
      <c r="J31" s="1" t="s">
        <v>101</v>
      </c>
      <c r="K31" s="10">
        <v>15000</v>
      </c>
      <c r="L31" s="1" t="s">
        <v>23</v>
      </c>
      <c r="M31" s="37">
        <v>46107</v>
      </c>
      <c r="N31" s="1" t="str">
        <f t="shared" si="0"/>
        <v>MARÇO</v>
      </c>
      <c r="O31" s="1" t="str">
        <f t="shared" si="1"/>
        <v>4ª semana</v>
      </c>
      <c r="P31" s="1" t="str">
        <f t="shared" si="2"/>
        <v>4ª semana</v>
      </c>
    </row>
    <row r="32" spans="1:16" x14ac:dyDescent="0.25">
      <c r="A32" s="37">
        <v>46112</v>
      </c>
      <c r="B32" s="1" t="s">
        <v>168</v>
      </c>
      <c r="C32" s="39" t="s">
        <v>231</v>
      </c>
      <c r="D32" s="39" t="s">
        <v>214</v>
      </c>
      <c r="E32" s="1" t="s">
        <v>29</v>
      </c>
      <c r="F32" s="1" t="s">
        <v>16</v>
      </c>
      <c r="G32" s="1" t="s">
        <v>17</v>
      </c>
      <c r="H32" s="1" t="s">
        <v>228</v>
      </c>
      <c r="I32" s="1" t="s">
        <v>105</v>
      </c>
      <c r="J32" s="1" t="s">
        <v>101</v>
      </c>
      <c r="K32" s="10">
        <v>11271.49</v>
      </c>
      <c r="L32" s="1" t="s">
        <v>23</v>
      </c>
      <c r="M32" s="37">
        <v>46112</v>
      </c>
      <c r="N32" s="1" t="str">
        <f t="shared" si="0"/>
        <v>MARÇO</v>
      </c>
      <c r="O32" s="1" t="str">
        <f t="shared" si="1"/>
        <v>5ª semana</v>
      </c>
      <c r="P32" s="1" t="str">
        <f t="shared" si="2"/>
        <v>5ª semana</v>
      </c>
    </row>
    <row r="33" spans="1:16" x14ac:dyDescent="0.25">
      <c r="A33" s="37">
        <v>46112</v>
      </c>
      <c r="B33" s="1" t="s">
        <v>168</v>
      </c>
      <c r="C33" s="39" t="s">
        <v>231</v>
      </c>
      <c r="D33" s="39" t="s">
        <v>214</v>
      </c>
      <c r="E33" s="1" t="s">
        <v>29</v>
      </c>
      <c r="F33" s="1" t="s">
        <v>16</v>
      </c>
      <c r="G33" s="1" t="s">
        <v>17</v>
      </c>
      <c r="H33" s="1" t="s">
        <v>228</v>
      </c>
      <c r="I33" s="1" t="s">
        <v>105</v>
      </c>
      <c r="J33" s="1" t="s">
        <v>101</v>
      </c>
      <c r="K33" s="10">
        <f>1500*12</f>
        <v>18000</v>
      </c>
      <c r="L33" s="1" t="s">
        <v>20</v>
      </c>
      <c r="M33" s="37">
        <v>46112</v>
      </c>
      <c r="N33" s="1" t="str">
        <f t="shared" si="0"/>
        <v>MARÇO</v>
      </c>
      <c r="O33" s="1" t="str">
        <f t="shared" si="1"/>
        <v>5ª semana</v>
      </c>
      <c r="P33" s="1" t="str">
        <f t="shared" si="2"/>
        <v>5ª semana</v>
      </c>
    </row>
    <row r="34" spans="1:16" x14ac:dyDescent="0.25">
      <c r="A34" s="37">
        <v>46112</v>
      </c>
      <c r="B34" s="1" t="s">
        <v>168</v>
      </c>
      <c r="C34" s="39" t="s">
        <v>231</v>
      </c>
      <c r="D34" s="39" t="s">
        <v>214</v>
      </c>
      <c r="E34" s="1" t="s">
        <v>29</v>
      </c>
      <c r="F34" s="1" t="s">
        <v>16</v>
      </c>
      <c r="G34" s="1" t="s">
        <v>17</v>
      </c>
      <c r="H34" s="1" t="s">
        <v>228</v>
      </c>
      <c r="I34" s="1" t="s">
        <v>22</v>
      </c>
      <c r="J34" s="1" t="s">
        <v>101</v>
      </c>
      <c r="K34" s="10">
        <f>5514*12</f>
        <v>66168</v>
      </c>
      <c r="L34" s="1" t="s">
        <v>20</v>
      </c>
      <c r="M34" s="37">
        <v>46112</v>
      </c>
      <c r="N34" s="1" t="str">
        <f t="shared" ref="N34:N52" si="3">UPPER(TEXT(A34,"MMMM"))</f>
        <v>MARÇO</v>
      </c>
      <c r="O34" s="1" t="str">
        <f t="shared" ref="O34:O52" si="4">INT((DAY(A34)-1)/7)+1 &amp; "ª semana"</f>
        <v>5ª semana</v>
      </c>
      <c r="P34" s="1" t="str">
        <f t="shared" ref="P34:P52" si="5">INT((DAY(M34)-1)/7)+1 &amp; "ª semana"</f>
        <v>5ª semana</v>
      </c>
    </row>
    <row r="35" spans="1:16" x14ac:dyDescent="0.25">
      <c r="A35" s="37">
        <v>46114</v>
      </c>
      <c r="B35" s="1" t="s">
        <v>169</v>
      </c>
      <c r="C35" s="39" t="s">
        <v>170</v>
      </c>
      <c r="D35" s="39" t="s">
        <v>202</v>
      </c>
      <c r="E35" s="1" t="s">
        <v>32</v>
      </c>
      <c r="F35" s="1" t="s">
        <v>16</v>
      </c>
      <c r="G35" s="1" t="s">
        <v>39</v>
      </c>
      <c r="H35" s="1" t="s">
        <v>19</v>
      </c>
      <c r="I35" s="1" t="s">
        <v>105</v>
      </c>
      <c r="J35" s="1" t="s">
        <v>101</v>
      </c>
      <c r="K35" s="10">
        <v>29258.639999999999</v>
      </c>
      <c r="L35" s="1" t="s">
        <v>23</v>
      </c>
      <c r="M35" s="37">
        <v>46114</v>
      </c>
      <c r="N35" s="1" t="str">
        <f t="shared" si="3"/>
        <v>ABRIL</v>
      </c>
      <c r="O35" s="1" t="str">
        <f t="shared" si="4"/>
        <v>1ª semana</v>
      </c>
      <c r="P35" s="1" t="str">
        <f t="shared" si="5"/>
        <v>1ª semana</v>
      </c>
    </row>
    <row r="36" spans="1:16" x14ac:dyDescent="0.25">
      <c r="A36" s="37">
        <v>46114</v>
      </c>
      <c r="B36" s="1" t="s">
        <v>171</v>
      </c>
      <c r="C36" s="39" t="s">
        <v>172</v>
      </c>
      <c r="D36" s="39" t="s">
        <v>206</v>
      </c>
      <c r="E36" s="1" t="s">
        <v>15</v>
      </c>
      <c r="F36" s="1" t="s">
        <v>16</v>
      </c>
      <c r="G36" s="1" t="s">
        <v>17</v>
      </c>
      <c r="H36" s="1" t="s">
        <v>226</v>
      </c>
      <c r="I36" s="1" t="s">
        <v>105</v>
      </c>
      <c r="J36" s="1" t="s">
        <v>101</v>
      </c>
      <c r="K36" s="10">
        <f>2000*12</f>
        <v>24000</v>
      </c>
      <c r="L36" s="1" t="s">
        <v>20</v>
      </c>
      <c r="M36" s="37">
        <v>46114</v>
      </c>
      <c r="N36" s="1" t="str">
        <f t="shared" si="3"/>
        <v>ABRIL</v>
      </c>
      <c r="O36" s="1" t="str">
        <f t="shared" si="4"/>
        <v>1ª semana</v>
      </c>
      <c r="P36" s="1" t="str">
        <f t="shared" si="5"/>
        <v>1ª semana</v>
      </c>
    </row>
    <row r="37" spans="1:16" x14ac:dyDescent="0.25">
      <c r="A37" s="37">
        <v>46114</v>
      </c>
      <c r="B37" s="39" t="s">
        <v>113</v>
      </c>
      <c r="C37" s="39" t="s">
        <v>112</v>
      </c>
      <c r="D37" s="39" t="s">
        <v>209</v>
      </c>
      <c r="E37" s="1" t="s">
        <v>15</v>
      </c>
      <c r="F37" s="1" t="s">
        <v>16</v>
      </c>
      <c r="G37" s="1" t="s">
        <v>39</v>
      </c>
      <c r="H37" s="1" t="s">
        <v>19</v>
      </c>
      <c r="I37" s="1" t="s">
        <v>105</v>
      </c>
      <c r="J37" s="1" t="s">
        <v>101</v>
      </c>
      <c r="K37" s="10">
        <v>27912.5</v>
      </c>
      <c r="L37" s="1" t="s">
        <v>23</v>
      </c>
      <c r="M37" s="37">
        <v>46114</v>
      </c>
      <c r="N37" s="1" t="str">
        <f t="shared" si="3"/>
        <v>ABRIL</v>
      </c>
      <c r="O37" s="1" t="str">
        <f t="shared" si="4"/>
        <v>1ª semana</v>
      </c>
      <c r="P37" s="1" t="str">
        <f t="shared" si="5"/>
        <v>1ª semana</v>
      </c>
    </row>
    <row r="38" spans="1:16" x14ac:dyDescent="0.25">
      <c r="A38" s="37">
        <v>46120</v>
      </c>
      <c r="B38" s="1" t="s">
        <v>173</v>
      </c>
      <c r="C38" s="39" t="s">
        <v>174</v>
      </c>
      <c r="D38" s="39" t="s">
        <v>31</v>
      </c>
      <c r="E38" s="1" t="s">
        <v>37</v>
      </c>
      <c r="F38" s="1" t="s">
        <v>16</v>
      </c>
      <c r="G38" s="1" t="s">
        <v>17</v>
      </c>
      <c r="H38" s="1" t="s">
        <v>227</v>
      </c>
      <c r="I38" s="1" t="s">
        <v>105</v>
      </c>
      <c r="J38" s="1" t="s">
        <v>101</v>
      </c>
      <c r="K38" s="10">
        <v>10850.57</v>
      </c>
      <c r="L38" s="1" t="s">
        <v>23</v>
      </c>
      <c r="M38" s="37">
        <v>46120</v>
      </c>
      <c r="N38" s="1" t="str">
        <f t="shared" si="3"/>
        <v>ABRIL</v>
      </c>
      <c r="O38" s="1" t="str">
        <f t="shared" si="4"/>
        <v>2ª semana</v>
      </c>
      <c r="P38" s="1" t="str">
        <f t="shared" si="5"/>
        <v>2ª semana</v>
      </c>
    </row>
    <row r="39" spans="1:16" x14ac:dyDescent="0.25">
      <c r="A39" s="37">
        <v>46120</v>
      </c>
      <c r="B39" s="1" t="s">
        <v>175</v>
      </c>
      <c r="C39" s="39" t="s">
        <v>176</v>
      </c>
      <c r="D39" s="39" t="s">
        <v>215</v>
      </c>
      <c r="E39" s="1" t="s">
        <v>177</v>
      </c>
      <c r="F39" s="1" t="s">
        <v>16</v>
      </c>
      <c r="G39" s="1" t="s">
        <v>17</v>
      </c>
      <c r="H39" s="1" t="s">
        <v>226</v>
      </c>
      <c r="I39" s="1" t="s">
        <v>105</v>
      </c>
      <c r="J39" s="1" t="s">
        <v>101</v>
      </c>
      <c r="K39" s="10">
        <v>29150</v>
      </c>
      <c r="L39" s="1" t="s">
        <v>23</v>
      </c>
      <c r="M39" s="37">
        <v>46120</v>
      </c>
      <c r="N39" s="1" t="str">
        <f t="shared" si="3"/>
        <v>ABRIL</v>
      </c>
      <c r="O39" s="1" t="str">
        <f t="shared" si="4"/>
        <v>2ª semana</v>
      </c>
      <c r="P39" s="1" t="str">
        <f t="shared" si="5"/>
        <v>2ª semana</v>
      </c>
    </row>
    <row r="40" spans="1:16" x14ac:dyDescent="0.25">
      <c r="A40" s="37">
        <v>46125</v>
      </c>
      <c r="B40" s="1" t="s">
        <v>178</v>
      </c>
      <c r="C40" s="39" t="s">
        <v>28</v>
      </c>
      <c r="D40" s="39" t="s">
        <v>206</v>
      </c>
      <c r="E40" s="1" t="s">
        <v>29</v>
      </c>
      <c r="F40" s="1" t="s">
        <v>16</v>
      </c>
      <c r="G40" s="1" t="s">
        <v>17</v>
      </c>
      <c r="H40" s="1" t="s">
        <v>226</v>
      </c>
      <c r="I40" s="1" t="s">
        <v>105</v>
      </c>
      <c r="J40" s="1" t="s">
        <v>101</v>
      </c>
      <c r="K40" s="10">
        <v>53653.36</v>
      </c>
      <c r="L40" s="1" t="s">
        <v>20</v>
      </c>
      <c r="M40" s="37">
        <v>46125</v>
      </c>
      <c r="N40" s="1" t="str">
        <f t="shared" si="3"/>
        <v>ABRIL</v>
      </c>
      <c r="O40" s="1" t="str">
        <f t="shared" si="4"/>
        <v>2ª semana</v>
      </c>
      <c r="P40" s="1" t="str">
        <f t="shared" si="5"/>
        <v>2ª semana</v>
      </c>
    </row>
    <row r="41" spans="1:16" x14ac:dyDescent="0.25">
      <c r="A41" s="37">
        <v>46126</v>
      </c>
      <c r="B41" s="1" t="s">
        <v>179</v>
      </c>
      <c r="C41" s="39" t="s">
        <v>180</v>
      </c>
      <c r="D41" s="39" t="s">
        <v>215</v>
      </c>
      <c r="E41" s="1" t="s">
        <v>29</v>
      </c>
      <c r="F41" s="1" t="s">
        <v>16</v>
      </c>
      <c r="G41" s="1" t="s">
        <v>17</v>
      </c>
      <c r="H41" s="1" t="s">
        <v>228</v>
      </c>
      <c r="I41" s="1" t="s">
        <v>105</v>
      </c>
      <c r="J41" s="1" t="s">
        <v>101</v>
      </c>
      <c r="K41" s="10">
        <f>18900*12</f>
        <v>226800</v>
      </c>
      <c r="L41" s="1" t="s">
        <v>20</v>
      </c>
      <c r="M41" s="37">
        <v>46126</v>
      </c>
      <c r="N41" s="1" t="str">
        <f t="shared" si="3"/>
        <v>ABRIL</v>
      </c>
      <c r="O41" s="1" t="str">
        <f t="shared" si="4"/>
        <v>2ª semana</v>
      </c>
      <c r="P41" s="1" t="str">
        <f t="shared" si="5"/>
        <v>2ª semana</v>
      </c>
    </row>
    <row r="42" spans="1:16" x14ac:dyDescent="0.25">
      <c r="A42" s="37">
        <v>46134</v>
      </c>
      <c r="B42" s="1" t="s">
        <v>181</v>
      </c>
      <c r="C42" s="39" t="s">
        <v>182</v>
      </c>
      <c r="D42" s="39" t="s">
        <v>211</v>
      </c>
      <c r="E42" s="1" t="s">
        <v>29</v>
      </c>
      <c r="F42" s="1" t="s">
        <v>16</v>
      </c>
      <c r="G42" s="1" t="s">
        <v>17</v>
      </c>
      <c r="H42" s="1" t="s">
        <v>226</v>
      </c>
      <c r="I42" s="1" t="s">
        <v>105</v>
      </c>
      <c r="J42" s="1" t="s">
        <v>101</v>
      </c>
      <c r="K42" s="10">
        <v>201997.25</v>
      </c>
      <c r="L42" s="1" t="s">
        <v>23</v>
      </c>
      <c r="M42" s="37">
        <v>46134</v>
      </c>
      <c r="N42" s="1" t="str">
        <f t="shared" si="3"/>
        <v>ABRIL</v>
      </c>
      <c r="O42" s="1" t="str">
        <f t="shared" si="4"/>
        <v>4ª semana</v>
      </c>
      <c r="P42" s="1" t="str">
        <f t="shared" si="5"/>
        <v>4ª semana</v>
      </c>
    </row>
    <row r="43" spans="1:16" x14ac:dyDescent="0.25">
      <c r="A43" s="37">
        <v>46135</v>
      </c>
      <c r="B43" s="1" t="s">
        <v>183</v>
      </c>
      <c r="C43" s="39" t="s">
        <v>185</v>
      </c>
      <c r="D43" s="39" t="s">
        <v>202</v>
      </c>
      <c r="E43" s="1" t="s">
        <v>184</v>
      </c>
      <c r="F43" s="1" t="s">
        <v>16</v>
      </c>
      <c r="G43" s="1" t="s">
        <v>17</v>
      </c>
      <c r="H43" s="1" t="s">
        <v>228</v>
      </c>
      <c r="I43" s="1" t="s">
        <v>22</v>
      </c>
      <c r="J43" s="1" t="s">
        <v>101</v>
      </c>
      <c r="K43" s="10">
        <f>16601*12</f>
        <v>199212</v>
      </c>
      <c r="L43" s="1" t="s">
        <v>20</v>
      </c>
      <c r="M43" s="37">
        <v>46135</v>
      </c>
      <c r="N43" s="1" t="str">
        <f t="shared" si="3"/>
        <v>ABRIL</v>
      </c>
      <c r="O43" s="1" t="str">
        <f t="shared" si="4"/>
        <v>4ª semana</v>
      </c>
      <c r="P43" s="1" t="str">
        <f t="shared" si="5"/>
        <v>4ª semana</v>
      </c>
    </row>
    <row r="44" spans="1:16" x14ac:dyDescent="0.25">
      <c r="A44" s="37">
        <v>46135</v>
      </c>
      <c r="B44" s="1" t="s">
        <v>183</v>
      </c>
      <c r="C44" s="39" t="s">
        <v>185</v>
      </c>
      <c r="D44" s="39" t="s">
        <v>202</v>
      </c>
      <c r="E44" s="1" t="s">
        <v>184</v>
      </c>
      <c r="F44" s="1" t="s">
        <v>16</v>
      </c>
      <c r="G44" s="1" t="s">
        <v>17</v>
      </c>
      <c r="H44" s="1" t="s">
        <v>228</v>
      </c>
      <c r="I44" s="1" t="s">
        <v>107</v>
      </c>
      <c r="J44" s="1" t="s">
        <v>101</v>
      </c>
      <c r="K44" s="10">
        <f>12680*12</f>
        <v>152160</v>
      </c>
      <c r="L44" s="1" t="s">
        <v>20</v>
      </c>
      <c r="M44" s="37">
        <v>46135</v>
      </c>
      <c r="N44" s="1" t="str">
        <f t="shared" si="3"/>
        <v>ABRIL</v>
      </c>
      <c r="O44" s="1" t="str">
        <f t="shared" si="4"/>
        <v>4ª semana</v>
      </c>
      <c r="P44" s="1" t="str">
        <f t="shared" si="5"/>
        <v>4ª semana</v>
      </c>
    </row>
    <row r="45" spans="1:16" x14ac:dyDescent="0.25">
      <c r="A45" s="37">
        <v>46139</v>
      </c>
      <c r="B45" s="1" t="s">
        <v>188</v>
      </c>
      <c r="C45" s="39" t="s">
        <v>189</v>
      </c>
      <c r="D45" s="39" t="s">
        <v>204</v>
      </c>
      <c r="E45" s="1" t="s">
        <v>32</v>
      </c>
      <c r="F45" s="1" t="s">
        <v>16</v>
      </c>
      <c r="G45" s="1" t="s">
        <v>17</v>
      </c>
      <c r="H45" s="1" t="s">
        <v>19</v>
      </c>
      <c r="I45" s="1" t="s">
        <v>107</v>
      </c>
      <c r="J45" s="1" t="s">
        <v>101</v>
      </c>
      <c r="K45" s="10">
        <f>7618.64*12</f>
        <v>91423.680000000008</v>
      </c>
      <c r="L45" s="1" t="s">
        <v>20</v>
      </c>
      <c r="M45" s="37">
        <v>46147</v>
      </c>
      <c r="N45" s="1" t="str">
        <f t="shared" si="3"/>
        <v>ABRIL</v>
      </c>
      <c r="O45" s="1" t="str">
        <f t="shared" si="4"/>
        <v>4ª semana</v>
      </c>
      <c r="P45" s="1" t="str">
        <f t="shared" si="5"/>
        <v>1ª semana</v>
      </c>
    </row>
    <row r="46" spans="1:16" x14ac:dyDescent="0.25">
      <c r="A46" s="37">
        <v>46147</v>
      </c>
      <c r="B46" s="1" t="s">
        <v>186</v>
      </c>
      <c r="C46" s="39" t="s">
        <v>187</v>
      </c>
      <c r="D46" s="39" t="s">
        <v>202</v>
      </c>
      <c r="E46" s="1" t="s">
        <v>32</v>
      </c>
      <c r="F46" s="1" t="s">
        <v>16</v>
      </c>
      <c r="G46" s="1" t="s">
        <v>17</v>
      </c>
      <c r="H46" s="1" t="s">
        <v>19</v>
      </c>
      <c r="I46" s="1" t="s">
        <v>105</v>
      </c>
      <c r="J46" s="1" t="s">
        <v>101</v>
      </c>
      <c r="K46" s="49">
        <f>(17400*12)+(22500*12)</f>
        <v>478800</v>
      </c>
      <c r="L46" s="1" t="s">
        <v>20</v>
      </c>
      <c r="M46" s="37">
        <v>46167</v>
      </c>
      <c r="N46" s="1" t="str">
        <f t="shared" si="3"/>
        <v>MAIO</v>
      </c>
      <c r="O46" s="1" t="str">
        <f t="shared" si="4"/>
        <v>1ª semana</v>
      </c>
      <c r="P46" s="1" t="str">
        <f t="shared" si="5"/>
        <v>4ª semana</v>
      </c>
    </row>
    <row r="47" spans="1:16" x14ac:dyDescent="0.25">
      <c r="A47" s="37">
        <v>46147</v>
      </c>
      <c r="B47" s="1" t="s">
        <v>186</v>
      </c>
      <c r="C47" s="39" t="s">
        <v>187</v>
      </c>
      <c r="D47" s="39" t="s">
        <v>202</v>
      </c>
      <c r="E47" s="1" t="s">
        <v>32</v>
      </c>
      <c r="F47" s="1" t="s">
        <v>16</v>
      </c>
      <c r="G47" s="1" t="s">
        <v>17</v>
      </c>
      <c r="H47" s="1" t="s">
        <v>19</v>
      </c>
      <c r="I47" s="1" t="s">
        <v>22</v>
      </c>
      <c r="J47" s="1" t="s">
        <v>101</v>
      </c>
      <c r="K47" s="49">
        <f>93536.11875*12</f>
        <v>1122433.4249999998</v>
      </c>
      <c r="L47" s="1" t="s">
        <v>20</v>
      </c>
      <c r="M47" s="37">
        <v>46167</v>
      </c>
      <c r="N47" s="1" t="str">
        <f t="shared" si="3"/>
        <v>MAIO</v>
      </c>
      <c r="O47" s="1" t="str">
        <f t="shared" si="4"/>
        <v>1ª semana</v>
      </c>
      <c r="P47" s="1" t="str">
        <f t="shared" si="5"/>
        <v>4ª semana</v>
      </c>
    </row>
    <row r="48" spans="1:16" x14ac:dyDescent="0.25">
      <c r="A48" s="37">
        <v>46148</v>
      </c>
      <c r="B48" s="1" t="s">
        <v>190</v>
      </c>
      <c r="C48" s="39" t="s">
        <v>191</v>
      </c>
      <c r="D48" s="39" t="s">
        <v>204</v>
      </c>
      <c r="E48" s="1" t="s">
        <v>32</v>
      </c>
      <c r="F48" s="1" t="s">
        <v>16</v>
      </c>
      <c r="G48" s="1" t="s">
        <v>39</v>
      </c>
      <c r="H48" s="1" t="s">
        <v>19</v>
      </c>
      <c r="I48" s="1" t="s">
        <v>105</v>
      </c>
      <c r="J48" s="1" t="s">
        <v>101</v>
      </c>
      <c r="K48" s="10">
        <v>34368.199999999997</v>
      </c>
      <c r="L48" s="1" t="s">
        <v>23</v>
      </c>
      <c r="M48" s="37">
        <v>46148</v>
      </c>
      <c r="N48" s="1" t="str">
        <f t="shared" si="3"/>
        <v>MAIO</v>
      </c>
      <c r="O48" s="1" t="str">
        <f t="shared" si="4"/>
        <v>1ª semana</v>
      </c>
      <c r="P48" s="1" t="str">
        <f t="shared" si="5"/>
        <v>1ª semana</v>
      </c>
    </row>
    <row r="49" spans="1:16" x14ac:dyDescent="0.25">
      <c r="A49" s="37">
        <v>46148</v>
      </c>
      <c r="B49" s="1" t="s">
        <v>18</v>
      </c>
      <c r="C49" s="39" t="s">
        <v>192</v>
      </c>
      <c r="D49" s="39" t="s">
        <v>31</v>
      </c>
      <c r="E49" s="1" t="s">
        <v>19</v>
      </c>
      <c r="F49" s="1" t="s">
        <v>16</v>
      </c>
      <c r="G49" s="1" t="s">
        <v>39</v>
      </c>
      <c r="H49" s="1" t="s">
        <v>19</v>
      </c>
      <c r="I49" s="1" t="s">
        <v>105</v>
      </c>
      <c r="J49" s="1" t="s">
        <v>101</v>
      </c>
      <c r="K49" s="10">
        <f>4480*12</f>
        <v>53760</v>
      </c>
      <c r="L49" s="1" t="s">
        <v>20</v>
      </c>
      <c r="M49" s="37">
        <v>46148</v>
      </c>
      <c r="N49" s="1" t="str">
        <f t="shared" si="3"/>
        <v>MAIO</v>
      </c>
      <c r="O49" s="1" t="str">
        <f t="shared" si="4"/>
        <v>1ª semana</v>
      </c>
      <c r="P49" s="1" t="str">
        <f t="shared" si="5"/>
        <v>1ª semana</v>
      </c>
    </row>
    <row r="50" spans="1:16" x14ac:dyDescent="0.25">
      <c r="A50" s="37">
        <v>46153</v>
      </c>
      <c r="B50" s="1" t="s">
        <v>195</v>
      </c>
      <c r="C50" s="39" t="s">
        <v>196</v>
      </c>
      <c r="D50" s="39" t="s">
        <v>204</v>
      </c>
      <c r="E50" s="1" t="s">
        <v>29</v>
      </c>
      <c r="F50" s="1" t="s">
        <v>16</v>
      </c>
      <c r="G50" s="1" t="s">
        <v>17</v>
      </c>
      <c r="H50" s="1" t="s">
        <v>227</v>
      </c>
      <c r="I50" s="1" t="s">
        <v>105</v>
      </c>
      <c r="J50" s="1" t="s">
        <v>101</v>
      </c>
      <c r="K50" s="49"/>
      <c r="L50" s="1" t="s">
        <v>23</v>
      </c>
      <c r="M50" s="37">
        <v>46156</v>
      </c>
      <c r="N50" s="1" t="str">
        <f t="shared" si="3"/>
        <v>MAIO</v>
      </c>
      <c r="O50" s="1" t="str">
        <f t="shared" si="4"/>
        <v>2ª semana</v>
      </c>
      <c r="P50" s="1" t="str">
        <f t="shared" si="5"/>
        <v>2ª semana</v>
      </c>
    </row>
    <row r="51" spans="1:16" x14ac:dyDescent="0.25">
      <c r="A51" s="37">
        <v>46156</v>
      </c>
      <c r="B51" s="1" t="s">
        <v>193</v>
      </c>
      <c r="C51" s="39" t="s">
        <v>194</v>
      </c>
      <c r="D51" s="39" t="s">
        <v>217</v>
      </c>
      <c r="E51" s="1" t="s">
        <v>32</v>
      </c>
      <c r="F51" s="1" t="s">
        <v>16</v>
      </c>
      <c r="G51" s="1" t="s">
        <v>39</v>
      </c>
      <c r="H51" s="1" t="s">
        <v>19</v>
      </c>
      <c r="I51" s="1" t="s">
        <v>105</v>
      </c>
      <c r="J51" s="1" t="s">
        <v>101</v>
      </c>
      <c r="K51" s="10">
        <f>5300*12</f>
        <v>63600</v>
      </c>
      <c r="L51" s="1" t="s">
        <v>20</v>
      </c>
      <c r="M51" s="37">
        <v>46156</v>
      </c>
      <c r="N51" s="1" t="str">
        <f t="shared" si="3"/>
        <v>MAIO</v>
      </c>
      <c r="O51" s="1" t="str">
        <f t="shared" si="4"/>
        <v>2ª semana</v>
      </c>
      <c r="P51" s="1" t="str">
        <f t="shared" si="5"/>
        <v>2ª semana</v>
      </c>
    </row>
    <row r="52" spans="1:16" x14ac:dyDescent="0.25">
      <c r="A52" s="37">
        <v>46156</v>
      </c>
      <c r="B52" s="1" t="s">
        <v>193</v>
      </c>
      <c r="C52" s="39" t="s">
        <v>194</v>
      </c>
      <c r="D52" s="39" t="s">
        <v>217</v>
      </c>
      <c r="E52" s="1" t="s">
        <v>32</v>
      </c>
      <c r="F52" s="1" t="s">
        <v>16</v>
      </c>
      <c r="G52" s="1" t="s">
        <v>39</v>
      </c>
      <c r="H52" s="1" t="s">
        <v>19</v>
      </c>
      <c r="I52" s="1" t="s">
        <v>105</v>
      </c>
      <c r="J52" s="1" t="s">
        <v>101</v>
      </c>
      <c r="K52" s="10">
        <v>25500</v>
      </c>
      <c r="L52" s="1" t="s">
        <v>23</v>
      </c>
      <c r="M52" s="37">
        <v>46156</v>
      </c>
      <c r="N52" s="1" t="str">
        <f t="shared" si="3"/>
        <v>MAIO</v>
      </c>
      <c r="O52" s="1" t="str">
        <f t="shared" si="4"/>
        <v>2ª semana</v>
      </c>
      <c r="P52" s="1" t="str">
        <f t="shared" si="5"/>
        <v>2ª semana</v>
      </c>
    </row>
    <row r="53" spans="1:16" x14ac:dyDescent="0.25">
      <c r="A53" s="37">
        <v>46163</v>
      </c>
      <c r="B53" s="1" t="s">
        <v>30</v>
      </c>
      <c r="C53" s="39" t="s">
        <v>49</v>
      </c>
      <c r="D53" s="39" t="s">
        <v>209</v>
      </c>
      <c r="E53" s="1" t="s">
        <v>15</v>
      </c>
      <c r="F53" s="1" t="s">
        <v>16</v>
      </c>
      <c r="G53" s="1" t="s">
        <v>17</v>
      </c>
      <c r="H53" s="1" t="s">
        <v>19</v>
      </c>
      <c r="I53" s="1" t="s">
        <v>105</v>
      </c>
      <c r="J53" s="1" t="s">
        <v>101</v>
      </c>
      <c r="K53" s="49">
        <v>14212</v>
      </c>
      <c r="L53" s="1" t="s">
        <v>23</v>
      </c>
      <c r="M53" s="37">
        <v>46167</v>
      </c>
      <c r="N53" s="1" t="str">
        <f>UPPER(TEXT(A53,"MMMM"))</f>
        <v>MAIO</v>
      </c>
      <c r="O53" s="1" t="str">
        <f>INT((DAY(A53)-1)/7)+1 &amp; "ª semana"</f>
        <v>3ª semana</v>
      </c>
      <c r="P53" s="1" t="str">
        <f>INT((DAY(M53)-1)/7)+1 &amp; "ª semana"</f>
        <v>4ª semana</v>
      </c>
    </row>
    <row r="54" spans="1:16" x14ac:dyDescent="0.25">
      <c r="A54" s="37">
        <v>46162</v>
      </c>
      <c r="B54" s="1" t="s">
        <v>183</v>
      </c>
      <c r="C54" s="39" t="s">
        <v>197</v>
      </c>
      <c r="D54" s="39" t="s">
        <v>216</v>
      </c>
      <c r="E54" s="1" t="s">
        <v>184</v>
      </c>
      <c r="F54" s="1" t="s">
        <v>16</v>
      </c>
      <c r="G54" s="1" t="s">
        <v>39</v>
      </c>
      <c r="H54" s="1" t="s">
        <v>228</v>
      </c>
      <c r="I54" s="1" t="s">
        <v>22</v>
      </c>
      <c r="J54" s="1" t="s">
        <v>101</v>
      </c>
      <c r="K54" s="49">
        <f>3278.02*12</f>
        <v>39336.239999999998</v>
      </c>
      <c r="L54" s="1" t="s">
        <v>20</v>
      </c>
      <c r="M54" s="37">
        <v>46167</v>
      </c>
      <c r="N54" s="1" t="str">
        <f>UPPER(TEXT(A54,"MMMM"))</f>
        <v>MAIO</v>
      </c>
      <c r="O54" s="1" t="str">
        <f>INT((DAY(A54)-1)/7)+1 &amp; "ª semana"</f>
        <v>3ª semana</v>
      </c>
      <c r="P54" s="1" t="str">
        <f>INT((DAY(M54)-1)/7)+1 &amp; "ª semana"</f>
        <v>4ª semana</v>
      </c>
    </row>
    <row r="55" spans="1:16" x14ac:dyDescent="0.25">
      <c r="A55" s="37">
        <v>46167</v>
      </c>
      <c r="B55" s="1" t="s">
        <v>224</v>
      </c>
      <c r="C55" s="39" t="s">
        <v>225</v>
      </c>
      <c r="D55" s="39" t="s">
        <v>209</v>
      </c>
      <c r="E55" s="1" t="s">
        <v>32</v>
      </c>
      <c r="F55" s="1" t="s">
        <v>16</v>
      </c>
      <c r="G55" s="1" t="s">
        <v>39</v>
      </c>
      <c r="H55" s="1" t="s">
        <v>227</v>
      </c>
      <c r="I55" s="1" t="s">
        <v>22</v>
      </c>
      <c r="J55" s="1" t="s">
        <v>101</v>
      </c>
      <c r="K55" s="10">
        <f>2446.57*12</f>
        <v>29358.840000000004</v>
      </c>
      <c r="L55" s="1" t="s">
        <v>20</v>
      </c>
      <c r="M55" s="37">
        <v>46167</v>
      </c>
      <c r="N55" s="1" t="str">
        <f>UPPER(TEXT(A55,"MMMM"))</f>
        <v>MAIO</v>
      </c>
      <c r="O55" s="1" t="str">
        <f>INT((DAY(A55)-1)/7)+1 &amp; "ª semana"</f>
        <v>4ª semana</v>
      </c>
      <c r="P55" s="1" t="str">
        <f>INT((DAY(M55)-1)/7)+1 &amp; "ª semana"</f>
        <v>4ª semana</v>
      </c>
    </row>
    <row r="56" spans="1:16" x14ac:dyDescent="0.25">
      <c r="A56" s="57"/>
      <c r="L56" s="24"/>
    </row>
    <row r="57" spans="1:16" x14ac:dyDescent="0.25">
      <c r="G57" s="47"/>
      <c r="L57" s="24"/>
    </row>
    <row r="58" spans="1:16" x14ac:dyDescent="0.25">
      <c r="G58" s="47"/>
      <c r="I58" s="48"/>
      <c r="J58" s="48"/>
    </row>
    <row r="59" spans="1:16" x14ac:dyDescent="0.25">
      <c r="G59" s="47"/>
      <c r="I59" s="48"/>
      <c r="J59" s="48"/>
    </row>
    <row r="60" spans="1:16" x14ac:dyDescent="0.25">
      <c r="G60" s="47"/>
      <c r="I60" s="48"/>
      <c r="J60" s="48"/>
    </row>
    <row r="61" spans="1:16" x14ac:dyDescent="0.25">
      <c r="J61" s="48"/>
    </row>
  </sheetData>
  <dataValidations count="5">
    <dataValidation type="list" allowBlank="1" showInputMessage="1" showErrorMessage="1" sqref="G2:G55" xr:uid="{5F787E17-DFED-4B0A-A4C9-4A32A47DE833}">
      <formula1>"A,B,C,N/A"</formula1>
    </dataValidation>
    <dataValidation type="list" allowBlank="1" showInputMessage="1" showErrorMessage="1" sqref="I2:I55" xr:uid="{BF0E90FD-8F5A-46B1-86A1-643E56434DF5}">
      <formula1>"ERGO, GL, MASSO, EVENTO, ENF,MED TRAB, FISIO"</formula1>
    </dataValidation>
    <dataValidation type="list" allowBlank="1" showInputMessage="1" showErrorMessage="1" sqref="J2:J55" xr:uid="{F666043E-C652-48F0-8BFE-CCAADF61473B}">
      <formula1>"S, N"</formula1>
    </dataValidation>
    <dataValidation type="list" allowBlank="1" showInputMessage="1" showErrorMessage="1" sqref="L2:L55" xr:uid="{48A2FB2E-717C-4ED2-8D46-37DBAFD8E9EC}">
      <formula1>"R, P, N/A"</formula1>
    </dataValidation>
    <dataValidation type="list" allowBlank="1" showInputMessage="1" showErrorMessage="1" sqref="H2:H1048576" xr:uid="{B04A2D57-FC99-4784-BD10-77353388F477}">
      <formula1>"LS,JB,RP,MKT"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879B-D42C-4616-824A-F630D5F37620}">
  <sheetPr>
    <tabColor rgb="FFFFC000"/>
  </sheetPr>
  <dimension ref="A1:K46"/>
  <sheetViews>
    <sheetView zoomScale="90" zoomScaleNormal="90" workbookViewId="0">
      <selection activeCell="M9" sqref="M9"/>
    </sheetView>
  </sheetViews>
  <sheetFormatPr defaultRowHeight="15" x14ac:dyDescent="0.25"/>
  <cols>
    <col min="1" max="1" width="11.5703125" style="37" bestFit="1" customWidth="1"/>
    <col min="2" max="2" width="23.28515625" style="1" bestFit="1" customWidth="1"/>
    <col min="3" max="3" width="17.7109375" style="1" bestFit="1" customWidth="1"/>
    <col min="4" max="4" width="12.42578125" style="1" bestFit="1" customWidth="1"/>
    <col min="5" max="5" width="12.85546875" style="1" bestFit="1" customWidth="1"/>
    <col min="6" max="6" width="16.28515625" style="1" bestFit="1" customWidth="1"/>
    <col min="7" max="7" width="8.85546875" style="1" bestFit="1" customWidth="1"/>
    <col min="8" max="8" width="9.85546875" style="1" bestFit="1" customWidth="1"/>
    <col min="9" max="9" width="15" style="38" customWidth="1"/>
    <col min="10" max="10" width="16.42578125" customWidth="1"/>
    <col min="11" max="11" width="13.140625" bestFit="1" customWidth="1"/>
    <col min="14" max="14" width="11.5703125" bestFit="1" customWidth="1"/>
    <col min="15" max="15" width="23.28515625" bestFit="1" customWidth="1"/>
    <col min="16" max="16" width="5.85546875" bestFit="1" customWidth="1"/>
    <col min="17" max="17" width="2.28515625" bestFit="1" customWidth="1"/>
    <col min="18" max="18" width="2.140625" bestFit="1" customWidth="1"/>
    <col min="19" max="19" width="15" bestFit="1" customWidth="1"/>
    <col min="20" max="20" width="10.7109375" bestFit="1" customWidth="1"/>
    <col min="21" max="21" width="12.140625" bestFit="1" customWidth="1"/>
    <col min="22" max="22" width="18.140625" bestFit="1" customWidth="1"/>
    <col min="23" max="23" width="13.85546875" bestFit="1" customWidth="1"/>
  </cols>
  <sheetData>
    <row r="1" spans="1:11" x14ac:dyDescent="0.25">
      <c r="A1" s="37" t="s">
        <v>0</v>
      </c>
      <c r="B1" s="1" t="s">
        <v>46</v>
      </c>
      <c r="C1" s="1" t="s">
        <v>201</v>
      </c>
      <c r="D1" s="1" t="s">
        <v>6</v>
      </c>
      <c r="E1" s="1" t="s">
        <v>5</v>
      </c>
      <c r="F1" s="1" t="s">
        <v>150</v>
      </c>
      <c r="G1" s="1" t="s">
        <v>145</v>
      </c>
      <c r="H1" s="1" t="s">
        <v>47</v>
      </c>
      <c r="I1" s="42" t="s">
        <v>48</v>
      </c>
      <c r="J1" s="43" t="s">
        <v>148</v>
      </c>
      <c r="K1" s="44" t="s">
        <v>199</v>
      </c>
    </row>
    <row r="2" spans="1:11" x14ac:dyDescent="0.25">
      <c r="A2" s="53">
        <v>45993</v>
      </c>
      <c r="B2" s="54" t="s">
        <v>132</v>
      </c>
      <c r="C2" s="54" t="s">
        <v>31</v>
      </c>
      <c r="D2" s="54" t="s">
        <v>135</v>
      </c>
      <c r="E2" s="1" t="s">
        <v>147</v>
      </c>
      <c r="F2" s="1" t="s">
        <v>151</v>
      </c>
      <c r="G2" s="54" t="s">
        <v>17</v>
      </c>
      <c r="H2" s="54" t="s">
        <v>20</v>
      </c>
      <c r="I2" s="55">
        <f>39183.28*12</f>
        <v>470199.36</v>
      </c>
      <c r="J2" s="54" t="str">
        <f>UPPER(TEXT(A2,"mmmm"))</f>
        <v>DEZEMBRO</v>
      </c>
      <c r="K2" s="1" t="s">
        <v>200</v>
      </c>
    </row>
    <row r="3" spans="1:11" x14ac:dyDescent="0.25">
      <c r="A3" s="53">
        <v>45995</v>
      </c>
      <c r="B3" s="54" t="s">
        <v>134</v>
      </c>
      <c r="C3" s="54" t="s">
        <v>204</v>
      </c>
      <c r="D3" s="54" t="s">
        <v>105</v>
      </c>
      <c r="E3" s="1" t="s">
        <v>146</v>
      </c>
      <c r="F3" s="1" t="s">
        <v>151</v>
      </c>
      <c r="G3" s="54" t="s">
        <v>17</v>
      </c>
      <c r="H3" s="54" t="s">
        <v>23</v>
      </c>
      <c r="I3" s="55">
        <v>2987.48</v>
      </c>
      <c r="J3" s="54" t="str">
        <f t="shared" ref="J3:J40" si="0">UPPER(TEXT(A3,"mmmm"))</f>
        <v>DEZEMBRO</v>
      </c>
      <c r="K3" s="1" t="s">
        <v>200</v>
      </c>
    </row>
    <row r="4" spans="1:11" x14ac:dyDescent="0.25">
      <c r="A4" s="53">
        <v>45996</v>
      </c>
      <c r="B4" s="54" t="s">
        <v>132</v>
      </c>
      <c r="C4" s="54" t="s">
        <v>31</v>
      </c>
      <c r="D4" s="54" t="s">
        <v>133</v>
      </c>
      <c r="E4" s="1" t="s">
        <v>147</v>
      </c>
      <c r="F4" s="1" t="s">
        <v>151</v>
      </c>
      <c r="G4" s="54" t="s">
        <v>17</v>
      </c>
      <c r="H4" s="54" t="s">
        <v>20</v>
      </c>
      <c r="I4" s="55">
        <f>35000*3.5</f>
        <v>122500</v>
      </c>
      <c r="J4" s="54" t="str">
        <f t="shared" si="0"/>
        <v>DEZEMBRO</v>
      </c>
      <c r="K4" s="1" t="s">
        <v>200</v>
      </c>
    </row>
    <row r="5" spans="1:11" x14ac:dyDescent="0.25">
      <c r="A5" s="53">
        <v>46003</v>
      </c>
      <c r="B5" s="54" t="s">
        <v>232</v>
      </c>
      <c r="C5" s="54" t="s">
        <v>218</v>
      </c>
      <c r="D5" s="54" t="s">
        <v>105</v>
      </c>
      <c r="E5" s="1" t="s">
        <v>147</v>
      </c>
      <c r="F5" s="1" t="s">
        <v>152</v>
      </c>
      <c r="G5" s="54" t="s">
        <v>17</v>
      </c>
      <c r="H5" s="54" t="s">
        <v>23</v>
      </c>
      <c r="I5" s="55">
        <v>5997.23</v>
      </c>
      <c r="J5" s="54" t="str">
        <f t="shared" si="0"/>
        <v>DEZEMBRO</v>
      </c>
      <c r="K5" s="1" t="s">
        <v>200</v>
      </c>
    </row>
    <row r="6" spans="1:11" x14ac:dyDescent="0.25">
      <c r="A6" s="53">
        <v>46009</v>
      </c>
      <c r="B6" s="54" t="s">
        <v>233</v>
      </c>
      <c r="C6" s="54" t="s">
        <v>219</v>
      </c>
      <c r="D6" s="54" t="s">
        <v>105</v>
      </c>
      <c r="E6" s="1" t="s">
        <v>146</v>
      </c>
      <c r="F6" s="1" t="s">
        <v>152</v>
      </c>
      <c r="G6" s="54" t="s">
        <v>17</v>
      </c>
      <c r="H6" s="54" t="s">
        <v>20</v>
      </c>
      <c r="I6" s="55">
        <f>9650*12</f>
        <v>115800</v>
      </c>
      <c r="J6" s="54" t="str">
        <f t="shared" si="0"/>
        <v>DEZEMBRO</v>
      </c>
      <c r="K6" s="1" t="s">
        <v>200</v>
      </c>
    </row>
    <row r="7" spans="1:11" x14ac:dyDescent="0.25">
      <c r="A7" s="37">
        <v>46050</v>
      </c>
      <c r="B7" s="1" t="s">
        <v>49</v>
      </c>
      <c r="C7" s="1" t="s">
        <v>31</v>
      </c>
      <c r="D7" s="1" t="s">
        <v>105</v>
      </c>
      <c r="E7" s="1" t="s">
        <v>146</v>
      </c>
      <c r="F7" s="1" t="s">
        <v>151</v>
      </c>
      <c r="G7" s="1" t="s">
        <v>17</v>
      </c>
      <c r="H7" s="1" t="s">
        <v>23</v>
      </c>
      <c r="I7" s="42">
        <v>8850</v>
      </c>
      <c r="J7" s="54" t="str">
        <f t="shared" si="0"/>
        <v>JANEIRO</v>
      </c>
      <c r="K7" s="1" t="s">
        <v>200</v>
      </c>
    </row>
    <row r="8" spans="1:11" x14ac:dyDescent="0.25">
      <c r="A8" s="37">
        <v>46058</v>
      </c>
      <c r="B8" s="1" t="s">
        <v>40</v>
      </c>
      <c r="C8" s="1" t="s">
        <v>31</v>
      </c>
      <c r="D8" s="1" t="s">
        <v>107</v>
      </c>
      <c r="E8" s="1" t="s">
        <v>146</v>
      </c>
      <c r="F8" s="1" t="s">
        <v>151</v>
      </c>
      <c r="G8" s="1" t="s">
        <v>36</v>
      </c>
      <c r="H8" s="1" t="s">
        <v>23</v>
      </c>
      <c r="I8" s="42">
        <v>1350</v>
      </c>
      <c r="J8" s="54" t="str">
        <f t="shared" si="0"/>
        <v>FEVEREIRO</v>
      </c>
      <c r="K8" s="1" t="s">
        <v>200</v>
      </c>
    </row>
    <row r="9" spans="1:11" x14ac:dyDescent="0.25">
      <c r="A9" s="37">
        <v>46062</v>
      </c>
      <c r="B9" s="1" t="s">
        <v>131</v>
      </c>
      <c r="C9" s="1" t="s">
        <v>209</v>
      </c>
      <c r="D9" s="1" t="s">
        <v>105</v>
      </c>
      <c r="E9" s="1" t="s">
        <v>147</v>
      </c>
      <c r="F9" s="1" t="s">
        <v>152</v>
      </c>
      <c r="G9" s="1" t="s">
        <v>36</v>
      </c>
      <c r="H9" s="1" t="s">
        <v>23</v>
      </c>
      <c r="I9" s="42">
        <v>6400</v>
      </c>
      <c r="J9" s="54" t="str">
        <f t="shared" si="0"/>
        <v>FEVEREIRO</v>
      </c>
      <c r="K9" s="1" t="s">
        <v>200</v>
      </c>
    </row>
    <row r="10" spans="1:11" x14ac:dyDescent="0.25">
      <c r="A10" s="37">
        <v>46070</v>
      </c>
      <c r="B10" s="1" t="s">
        <v>129</v>
      </c>
      <c r="C10" s="1" t="s">
        <v>31</v>
      </c>
      <c r="D10" s="1" t="s">
        <v>105</v>
      </c>
      <c r="E10" s="1" t="s">
        <v>146</v>
      </c>
      <c r="F10" s="1" t="s">
        <v>152</v>
      </c>
      <c r="G10" s="1" t="s">
        <v>39</v>
      </c>
      <c r="H10" s="1" t="s">
        <v>23</v>
      </c>
      <c r="I10" s="42">
        <v>5902.93</v>
      </c>
      <c r="J10" s="54" t="str">
        <f t="shared" si="0"/>
        <v>FEVEREIRO</v>
      </c>
      <c r="K10" s="1" t="s">
        <v>200</v>
      </c>
    </row>
    <row r="11" spans="1:11" x14ac:dyDescent="0.25">
      <c r="A11" s="37">
        <v>46070</v>
      </c>
      <c r="B11" s="1" t="s">
        <v>234</v>
      </c>
      <c r="C11" s="1" t="s">
        <v>235</v>
      </c>
      <c r="D11" s="1" t="s">
        <v>105</v>
      </c>
      <c r="E11" s="1" t="s">
        <v>146</v>
      </c>
      <c r="F11" s="1" t="s">
        <v>151</v>
      </c>
      <c r="G11" s="1" t="s">
        <v>17</v>
      </c>
      <c r="H11" s="1" t="s">
        <v>20</v>
      </c>
      <c r="I11" s="42">
        <v>0</v>
      </c>
      <c r="J11" s="54" t="str">
        <f t="shared" si="0"/>
        <v>FEVEREIRO</v>
      </c>
      <c r="K11" s="1" t="s">
        <v>200</v>
      </c>
    </row>
    <row r="12" spans="1:11" x14ac:dyDescent="0.25">
      <c r="A12" s="37">
        <v>46071</v>
      </c>
      <c r="B12" s="1" t="s">
        <v>132</v>
      </c>
      <c r="C12" s="1" t="s">
        <v>31</v>
      </c>
      <c r="D12" s="1" t="s">
        <v>133</v>
      </c>
      <c r="E12" s="1" t="s">
        <v>147</v>
      </c>
      <c r="F12" s="1" t="s">
        <v>152</v>
      </c>
      <c r="G12" s="1" t="s">
        <v>17</v>
      </c>
      <c r="H12" s="1" t="s">
        <v>20</v>
      </c>
      <c r="I12" s="42">
        <f>35000*8.5</f>
        <v>297500</v>
      </c>
      <c r="J12" s="54" t="str">
        <f t="shared" si="0"/>
        <v>FEVEREIRO</v>
      </c>
      <c r="K12" s="1" t="s">
        <v>200</v>
      </c>
    </row>
    <row r="13" spans="1:11" x14ac:dyDescent="0.25">
      <c r="A13" s="37">
        <v>46090</v>
      </c>
      <c r="B13" s="1" t="s">
        <v>136</v>
      </c>
      <c r="C13" s="1" t="s">
        <v>209</v>
      </c>
      <c r="D13" s="1" t="s">
        <v>105</v>
      </c>
      <c r="E13" s="1" t="s">
        <v>146</v>
      </c>
      <c r="F13" s="1" t="s">
        <v>152</v>
      </c>
      <c r="G13" s="1" t="s">
        <v>36</v>
      </c>
      <c r="H13" s="1" t="s">
        <v>23</v>
      </c>
      <c r="I13" s="42">
        <v>2700</v>
      </c>
      <c r="J13" s="54" t="str">
        <f t="shared" si="0"/>
        <v>MARÇO</v>
      </c>
      <c r="K13" s="1" t="s">
        <v>200</v>
      </c>
    </row>
    <row r="14" spans="1:11" x14ac:dyDescent="0.25">
      <c r="A14" s="37">
        <v>46090</v>
      </c>
      <c r="B14" s="1" t="s">
        <v>139</v>
      </c>
      <c r="C14" s="1" t="s">
        <v>204</v>
      </c>
      <c r="D14" s="1" t="s">
        <v>107</v>
      </c>
      <c r="E14" s="1" t="s">
        <v>146</v>
      </c>
      <c r="F14" s="1" t="s">
        <v>151</v>
      </c>
      <c r="G14" s="1" t="s">
        <v>39</v>
      </c>
      <c r="H14" s="1" t="s">
        <v>23</v>
      </c>
      <c r="I14" s="42">
        <v>3500</v>
      </c>
      <c r="J14" s="54" t="str">
        <f t="shared" si="0"/>
        <v>MARÇO</v>
      </c>
      <c r="K14" s="1" t="s">
        <v>200</v>
      </c>
    </row>
    <row r="15" spans="1:11" x14ac:dyDescent="0.25">
      <c r="A15" s="37">
        <v>46091</v>
      </c>
      <c r="B15" s="1" t="s">
        <v>130</v>
      </c>
      <c r="C15" s="1" t="s">
        <v>208</v>
      </c>
      <c r="D15" s="1" t="s">
        <v>105</v>
      </c>
      <c r="E15" s="1" t="s">
        <v>147</v>
      </c>
      <c r="F15" s="1" t="s">
        <v>152</v>
      </c>
      <c r="G15" s="1" t="s">
        <v>17</v>
      </c>
      <c r="H15" s="1" t="s">
        <v>23</v>
      </c>
      <c r="I15" s="42">
        <v>50000</v>
      </c>
      <c r="J15" s="54" t="str">
        <f t="shared" si="0"/>
        <v>MARÇO</v>
      </c>
      <c r="K15" s="1" t="s">
        <v>125</v>
      </c>
    </row>
    <row r="16" spans="1:11" x14ac:dyDescent="0.25">
      <c r="A16" s="37">
        <v>46092</v>
      </c>
      <c r="B16" s="1" t="s">
        <v>114</v>
      </c>
      <c r="C16" s="1" t="s">
        <v>217</v>
      </c>
      <c r="D16" s="1" t="s">
        <v>105</v>
      </c>
      <c r="E16" s="1" t="s">
        <v>147</v>
      </c>
      <c r="F16" s="1" t="s">
        <v>152</v>
      </c>
      <c r="G16" s="1" t="s">
        <v>36</v>
      </c>
      <c r="H16" s="1" t="s">
        <v>23</v>
      </c>
      <c r="I16" s="42">
        <v>0</v>
      </c>
      <c r="J16" s="54" t="str">
        <f t="shared" si="0"/>
        <v>MARÇO</v>
      </c>
      <c r="K16" s="1" t="s">
        <v>200</v>
      </c>
    </row>
    <row r="17" spans="1:11" x14ac:dyDescent="0.25">
      <c r="A17" s="37">
        <v>46092</v>
      </c>
      <c r="B17" s="1" t="s">
        <v>27</v>
      </c>
      <c r="C17" s="1" t="s">
        <v>31</v>
      </c>
      <c r="D17" s="1" t="s">
        <v>105</v>
      </c>
      <c r="E17" s="1" t="s">
        <v>146</v>
      </c>
      <c r="F17" s="1" t="s">
        <v>151</v>
      </c>
      <c r="G17" s="1" t="s">
        <v>39</v>
      </c>
      <c r="H17" s="1" t="s">
        <v>23</v>
      </c>
      <c r="I17" s="42">
        <v>7724</v>
      </c>
      <c r="J17" s="54" t="str">
        <f t="shared" si="0"/>
        <v>MARÇO</v>
      </c>
      <c r="K17" s="1" t="s">
        <v>200</v>
      </c>
    </row>
    <row r="18" spans="1:11" x14ac:dyDescent="0.25">
      <c r="A18" s="37">
        <v>46092</v>
      </c>
      <c r="B18" s="1" t="s">
        <v>49</v>
      </c>
      <c r="C18" s="1" t="s">
        <v>202</v>
      </c>
      <c r="D18" s="1" t="s">
        <v>105</v>
      </c>
      <c r="E18" s="1" t="s">
        <v>146</v>
      </c>
      <c r="F18" s="1" t="s">
        <v>151</v>
      </c>
      <c r="G18" s="1" t="s">
        <v>17</v>
      </c>
      <c r="H18" s="1" t="s">
        <v>23</v>
      </c>
      <c r="I18" s="42">
        <v>82551.61</v>
      </c>
      <c r="J18" s="54" t="str">
        <f t="shared" si="0"/>
        <v>MARÇO</v>
      </c>
      <c r="K18" s="1" t="s">
        <v>200</v>
      </c>
    </row>
    <row r="19" spans="1:11" x14ac:dyDescent="0.25">
      <c r="A19" s="37">
        <v>46094</v>
      </c>
      <c r="B19" s="54" t="s">
        <v>233</v>
      </c>
      <c r="C19" s="1" t="s">
        <v>220</v>
      </c>
      <c r="D19" s="1" t="s">
        <v>105</v>
      </c>
      <c r="E19" s="1" t="s">
        <v>146</v>
      </c>
      <c r="F19" s="1" t="s">
        <v>151</v>
      </c>
      <c r="G19" s="1" t="s">
        <v>17</v>
      </c>
      <c r="H19" s="1" t="s">
        <v>23</v>
      </c>
      <c r="I19" s="42">
        <f>3510*3</f>
        <v>10530</v>
      </c>
      <c r="J19" s="54" t="str">
        <f t="shared" si="0"/>
        <v>MARÇO</v>
      </c>
      <c r="K19" s="1" t="s">
        <v>200</v>
      </c>
    </row>
    <row r="20" spans="1:11" x14ac:dyDescent="0.25">
      <c r="A20" s="37">
        <v>46094</v>
      </c>
      <c r="B20" s="54" t="s">
        <v>233</v>
      </c>
      <c r="C20" s="1" t="s">
        <v>221</v>
      </c>
      <c r="D20" s="1" t="s">
        <v>105</v>
      </c>
      <c r="E20" s="1" t="s">
        <v>146</v>
      </c>
      <c r="F20" s="1" t="s">
        <v>151</v>
      </c>
      <c r="G20" s="1" t="s">
        <v>17</v>
      </c>
      <c r="H20" s="1" t="s">
        <v>23</v>
      </c>
      <c r="I20" s="42">
        <f>4010*3</f>
        <v>12030</v>
      </c>
      <c r="J20" s="54" t="str">
        <f t="shared" si="0"/>
        <v>MARÇO</v>
      </c>
      <c r="K20" s="1" t="s">
        <v>200</v>
      </c>
    </row>
    <row r="21" spans="1:11" x14ac:dyDescent="0.25">
      <c r="A21" s="37">
        <v>46094</v>
      </c>
      <c r="B21" s="54" t="s">
        <v>233</v>
      </c>
      <c r="C21" s="1" t="s">
        <v>222</v>
      </c>
      <c r="D21" s="1" t="s">
        <v>105</v>
      </c>
      <c r="E21" s="1" t="s">
        <v>146</v>
      </c>
      <c r="F21" s="1" t="s">
        <v>151</v>
      </c>
      <c r="G21" s="1" t="s">
        <v>17</v>
      </c>
      <c r="H21" s="1" t="s">
        <v>23</v>
      </c>
      <c r="I21" s="42">
        <f>2745*3</f>
        <v>8235</v>
      </c>
      <c r="J21" s="54" t="str">
        <f t="shared" si="0"/>
        <v>MARÇO</v>
      </c>
      <c r="K21" s="1" t="s">
        <v>200</v>
      </c>
    </row>
    <row r="22" spans="1:11" x14ac:dyDescent="0.25">
      <c r="A22" s="37">
        <v>46094</v>
      </c>
      <c r="B22" s="54" t="s">
        <v>233</v>
      </c>
      <c r="C22" s="1" t="s">
        <v>223</v>
      </c>
      <c r="D22" s="1" t="s">
        <v>105</v>
      </c>
      <c r="E22" s="1" t="s">
        <v>146</v>
      </c>
      <c r="F22" s="1" t="s">
        <v>151</v>
      </c>
      <c r="G22" s="1" t="s">
        <v>17</v>
      </c>
      <c r="H22" s="1" t="s">
        <v>23</v>
      </c>
      <c r="I22" s="42">
        <f>7150.12*3</f>
        <v>21450.36</v>
      </c>
      <c r="J22" s="54" t="str">
        <f t="shared" si="0"/>
        <v>MARÇO</v>
      </c>
      <c r="K22" s="1" t="s">
        <v>200</v>
      </c>
    </row>
    <row r="23" spans="1:11" x14ac:dyDescent="0.25">
      <c r="A23" s="37">
        <v>46097</v>
      </c>
      <c r="B23" s="1" t="s">
        <v>49</v>
      </c>
      <c r="C23" s="1" t="s">
        <v>212</v>
      </c>
      <c r="D23" s="1" t="s">
        <v>105</v>
      </c>
      <c r="E23" s="1" t="s">
        <v>146</v>
      </c>
      <c r="F23" s="1" t="s">
        <v>151</v>
      </c>
      <c r="G23" s="1" t="s">
        <v>17</v>
      </c>
      <c r="H23" s="1" t="s">
        <v>23</v>
      </c>
      <c r="I23" s="42">
        <v>5154.53</v>
      </c>
      <c r="J23" s="54" t="str">
        <f t="shared" si="0"/>
        <v>MARÇO</v>
      </c>
      <c r="K23" s="1" t="s">
        <v>200</v>
      </c>
    </row>
    <row r="24" spans="1:11" x14ac:dyDescent="0.25">
      <c r="A24" s="37">
        <v>46100</v>
      </c>
      <c r="B24" s="1" t="s">
        <v>127</v>
      </c>
      <c r="C24" s="1" t="s">
        <v>204</v>
      </c>
      <c r="D24" s="1" t="s">
        <v>128</v>
      </c>
      <c r="E24" s="1" t="s">
        <v>147</v>
      </c>
      <c r="F24" s="1" t="s">
        <v>152</v>
      </c>
      <c r="G24" s="1" t="s">
        <v>17</v>
      </c>
      <c r="H24" s="1" t="s">
        <v>20</v>
      </c>
      <c r="I24" s="42">
        <f>26250*12</f>
        <v>315000</v>
      </c>
      <c r="J24" s="54" t="str">
        <f t="shared" si="0"/>
        <v>MARÇO</v>
      </c>
      <c r="K24" s="1" t="s">
        <v>125</v>
      </c>
    </row>
    <row r="25" spans="1:11" x14ac:dyDescent="0.25">
      <c r="A25" s="37">
        <v>46100</v>
      </c>
      <c r="B25" s="1" t="s">
        <v>126</v>
      </c>
      <c r="C25" s="1" t="s">
        <v>202</v>
      </c>
      <c r="D25" s="1" t="s">
        <v>105</v>
      </c>
      <c r="E25" s="1" t="s">
        <v>147</v>
      </c>
      <c r="F25" s="1" t="s">
        <v>152</v>
      </c>
      <c r="G25" s="1" t="s">
        <v>17</v>
      </c>
      <c r="H25" s="1" t="s">
        <v>23</v>
      </c>
      <c r="I25" s="42">
        <v>111720.51</v>
      </c>
      <c r="J25" s="54" t="str">
        <f t="shared" si="0"/>
        <v>MARÇO</v>
      </c>
      <c r="K25" s="1" t="s">
        <v>125</v>
      </c>
    </row>
    <row r="26" spans="1:11" x14ac:dyDescent="0.25">
      <c r="A26" s="37">
        <v>46111</v>
      </c>
      <c r="B26" s="1" t="s">
        <v>137</v>
      </c>
      <c r="C26" s="1" t="s">
        <v>212</v>
      </c>
      <c r="D26" s="1" t="s">
        <v>22</v>
      </c>
      <c r="E26" s="1" t="s">
        <v>146</v>
      </c>
      <c r="F26" s="1" t="s">
        <v>151</v>
      </c>
      <c r="G26" s="1" t="s">
        <v>17</v>
      </c>
      <c r="H26" s="1" t="s">
        <v>23</v>
      </c>
      <c r="I26" s="42">
        <v>1550</v>
      </c>
      <c r="J26" s="54" t="str">
        <f t="shared" si="0"/>
        <v>MARÇO</v>
      </c>
      <c r="K26" s="1" t="s">
        <v>200</v>
      </c>
    </row>
    <row r="27" spans="1:11" x14ac:dyDescent="0.25">
      <c r="A27" s="37">
        <v>46111</v>
      </c>
      <c r="B27" s="1" t="s">
        <v>137</v>
      </c>
      <c r="C27" s="1" t="s">
        <v>212</v>
      </c>
      <c r="D27" s="1" t="s">
        <v>138</v>
      </c>
      <c r="E27" s="1" t="s">
        <v>146</v>
      </c>
      <c r="F27" s="1" t="s">
        <v>151</v>
      </c>
      <c r="G27" s="1" t="s">
        <v>17</v>
      </c>
      <c r="H27" s="1" t="s">
        <v>23</v>
      </c>
      <c r="I27" s="42">
        <v>2450</v>
      </c>
      <c r="J27" s="54" t="str">
        <f t="shared" si="0"/>
        <v>MARÇO</v>
      </c>
      <c r="K27" s="1" t="s">
        <v>200</v>
      </c>
    </row>
    <row r="28" spans="1:11" x14ac:dyDescent="0.25">
      <c r="A28" s="37">
        <v>46125</v>
      </c>
      <c r="B28" s="1" t="s">
        <v>140</v>
      </c>
      <c r="C28" s="1" t="s">
        <v>206</v>
      </c>
      <c r="D28" s="1" t="s">
        <v>105</v>
      </c>
      <c r="E28" s="1" t="s">
        <v>147</v>
      </c>
      <c r="F28" s="1" t="s">
        <v>152</v>
      </c>
      <c r="G28" s="1" t="s">
        <v>17</v>
      </c>
      <c r="H28" s="1" t="s">
        <v>23</v>
      </c>
      <c r="I28" s="10">
        <v>53653.36</v>
      </c>
      <c r="J28" s="54" t="str">
        <f t="shared" si="0"/>
        <v>ABRIL</v>
      </c>
      <c r="K28" s="1" t="s">
        <v>125</v>
      </c>
    </row>
    <row r="29" spans="1:11" x14ac:dyDescent="0.25">
      <c r="A29" s="37">
        <v>46127</v>
      </c>
      <c r="B29" s="1" t="s">
        <v>231</v>
      </c>
      <c r="C29" s="1" t="s">
        <v>214</v>
      </c>
      <c r="D29" s="1" t="s">
        <v>105</v>
      </c>
      <c r="E29" s="1" t="s">
        <v>147</v>
      </c>
      <c r="F29" s="1" t="s">
        <v>152</v>
      </c>
      <c r="G29" s="1" t="s">
        <v>17</v>
      </c>
      <c r="H29" s="1" t="s">
        <v>20</v>
      </c>
      <c r="I29" s="42">
        <f>1430*12</f>
        <v>17160</v>
      </c>
      <c r="J29" s="54" t="str">
        <f t="shared" si="0"/>
        <v>ABRIL</v>
      </c>
      <c r="K29" s="1" t="s">
        <v>125</v>
      </c>
    </row>
    <row r="30" spans="1:11" x14ac:dyDescent="0.25">
      <c r="A30" s="37">
        <v>46127</v>
      </c>
      <c r="B30" s="1" t="s">
        <v>231</v>
      </c>
      <c r="C30" s="1" t="s">
        <v>214</v>
      </c>
      <c r="D30" s="1" t="s">
        <v>105</v>
      </c>
      <c r="E30" s="1" t="s">
        <v>147</v>
      </c>
      <c r="F30" s="1" t="s">
        <v>152</v>
      </c>
      <c r="G30" s="1" t="s">
        <v>17</v>
      </c>
      <c r="H30" s="1" t="s">
        <v>23</v>
      </c>
      <c r="I30" s="42">
        <v>11271.49</v>
      </c>
      <c r="J30" s="54" t="str">
        <f t="shared" si="0"/>
        <v>ABRIL</v>
      </c>
      <c r="K30" s="1" t="s">
        <v>125</v>
      </c>
    </row>
    <row r="31" spans="1:11" x14ac:dyDescent="0.25">
      <c r="A31" s="37">
        <v>46127</v>
      </c>
      <c r="B31" s="1" t="s">
        <v>231</v>
      </c>
      <c r="C31" s="1" t="s">
        <v>214</v>
      </c>
      <c r="D31" s="1" t="s">
        <v>22</v>
      </c>
      <c r="E31" s="1" t="s">
        <v>147</v>
      </c>
      <c r="F31" s="1" t="s">
        <v>152</v>
      </c>
      <c r="G31" s="1" t="s">
        <v>17</v>
      </c>
      <c r="H31" s="1" t="s">
        <v>20</v>
      </c>
      <c r="I31" s="42">
        <f>6600*12</f>
        <v>79200</v>
      </c>
      <c r="J31" s="54" t="str">
        <f t="shared" si="0"/>
        <v>ABRIL</v>
      </c>
      <c r="K31" s="1" t="s">
        <v>125</v>
      </c>
    </row>
    <row r="32" spans="1:11" x14ac:dyDescent="0.25">
      <c r="A32" s="37">
        <v>46135</v>
      </c>
      <c r="B32" s="1" t="s">
        <v>136</v>
      </c>
      <c r="C32" s="1" t="s">
        <v>209</v>
      </c>
      <c r="D32" s="1" t="s">
        <v>141</v>
      </c>
      <c r="E32" s="1" t="s">
        <v>146</v>
      </c>
      <c r="F32" s="1" t="s">
        <v>152</v>
      </c>
      <c r="G32" s="1" t="s">
        <v>36</v>
      </c>
      <c r="H32" s="1" t="s">
        <v>23</v>
      </c>
      <c r="I32" s="42">
        <v>1200</v>
      </c>
      <c r="J32" s="54" t="str">
        <f t="shared" si="0"/>
        <v>ABRIL</v>
      </c>
      <c r="K32" s="1" t="s">
        <v>200</v>
      </c>
    </row>
    <row r="33" spans="1:11" x14ac:dyDescent="0.25">
      <c r="A33" s="37">
        <v>46135</v>
      </c>
      <c r="B33" s="1" t="s">
        <v>136</v>
      </c>
      <c r="C33" s="1" t="s">
        <v>209</v>
      </c>
      <c r="D33" s="1" t="s">
        <v>141</v>
      </c>
      <c r="E33" s="1" t="s">
        <v>146</v>
      </c>
      <c r="F33" s="1" t="s">
        <v>152</v>
      </c>
      <c r="G33" s="1" t="s">
        <v>36</v>
      </c>
      <c r="H33" s="1" t="s">
        <v>23</v>
      </c>
      <c r="I33" s="42">
        <v>500</v>
      </c>
      <c r="J33" s="54" t="str">
        <f t="shared" si="0"/>
        <v>ABRIL</v>
      </c>
      <c r="K33" s="1" t="s">
        <v>200</v>
      </c>
    </row>
    <row r="34" spans="1:11" x14ac:dyDescent="0.25">
      <c r="A34" s="37">
        <v>46135</v>
      </c>
      <c r="B34" s="1" t="s">
        <v>136</v>
      </c>
      <c r="C34" s="1" t="s">
        <v>209</v>
      </c>
      <c r="D34" s="1" t="s">
        <v>141</v>
      </c>
      <c r="E34" s="1" t="s">
        <v>146</v>
      </c>
      <c r="F34" s="1" t="s">
        <v>152</v>
      </c>
      <c r="G34" s="1" t="s">
        <v>36</v>
      </c>
      <c r="H34" s="1" t="s">
        <v>23</v>
      </c>
      <c r="I34" s="42">
        <v>17561.7</v>
      </c>
      <c r="J34" s="54" t="str">
        <f t="shared" si="0"/>
        <v>ABRIL</v>
      </c>
      <c r="K34" s="1" t="s">
        <v>200</v>
      </c>
    </row>
    <row r="35" spans="1:11" x14ac:dyDescent="0.25">
      <c r="A35" s="37">
        <v>46135</v>
      </c>
      <c r="B35" s="1" t="s">
        <v>136</v>
      </c>
      <c r="C35" s="1" t="s">
        <v>209</v>
      </c>
      <c r="D35" s="1" t="s">
        <v>141</v>
      </c>
      <c r="E35" s="1" t="s">
        <v>146</v>
      </c>
      <c r="F35" s="1" t="s">
        <v>152</v>
      </c>
      <c r="G35" s="1" t="s">
        <v>36</v>
      </c>
      <c r="H35" s="1" t="s">
        <v>23</v>
      </c>
      <c r="I35" s="42">
        <v>2340</v>
      </c>
      <c r="J35" s="54" t="str">
        <f t="shared" si="0"/>
        <v>ABRIL</v>
      </c>
      <c r="K35" s="1" t="s">
        <v>200</v>
      </c>
    </row>
    <row r="36" spans="1:11" x14ac:dyDescent="0.25">
      <c r="A36" s="37">
        <v>46135</v>
      </c>
      <c r="B36" s="1" t="s">
        <v>136</v>
      </c>
      <c r="C36" s="1" t="s">
        <v>209</v>
      </c>
      <c r="D36" s="1" t="s">
        <v>107</v>
      </c>
      <c r="E36" s="1" t="s">
        <v>146</v>
      </c>
      <c r="F36" s="1" t="s">
        <v>152</v>
      </c>
      <c r="G36" s="1" t="s">
        <v>36</v>
      </c>
      <c r="H36" s="1" t="s">
        <v>23</v>
      </c>
      <c r="I36" s="42">
        <v>3400</v>
      </c>
      <c r="J36" s="54" t="str">
        <f t="shared" si="0"/>
        <v>ABRIL</v>
      </c>
      <c r="K36" s="1" t="s">
        <v>200</v>
      </c>
    </row>
    <row r="37" spans="1:11" x14ac:dyDescent="0.25">
      <c r="A37" s="37">
        <v>46136</v>
      </c>
      <c r="B37" s="1" t="s">
        <v>142</v>
      </c>
      <c r="C37" s="1" t="s">
        <v>202</v>
      </c>
      <c r="D37" s="1" t="s">
        <v>105</v>
      </c>
      <c r="E37" s="1" t="s">
        <v>147</v>
      </c>
      <c r="F37" s="1" t="s">
        <v>152</v>
      </c>
      <c r="G37" s="1" t="s">
        <v>17</v>
      </c>
      <c r="H37" s="1" t="s">
        <v>23</v>
      </c>
      <c r="I37" s="42">
        <v>100766.91666666667</v>
      </c>
      <c r="J37" s="54" t="str">
        <f t="shared" si="0"/>
        <v>ABRIL</v>
      </c>
      <c r="K37" s="1" t="s">
        <v>200</v>
      </c>
    </row>
    <row r="38" spans="1:11" x14ac:dyDescent="0.25">
      <c r="A38" s="37">
        <v>46136</v>
      </c>
      <c r="B38" s="1" t="s">
        <v>142</v>
      </c>
      <c r="C38" s="1" t="s">
        <v>202</v>
      </c>
      <c r="D38" s="1" t="s">
        <v>105</v>
      </c>
      <c r="E38" s="1" t="s">
        <v>147</v>
      </c>
      <c r="F38" s="1" t="s">
        <v>152</v>
      </c>
      <c r="G38" s="1" t="s">
        <v>17</v>
      </c>
      <c r="H38" s="1" t="s">
        <v>20</v>
      </c>
      <c r="I38" s="42">
        <f>5379.53*12</f>
        <v>64554.36</v>
      </c>
      <c r="J38" s="54" t="str">
        <f t="shared" si="0"/>
        <v>ABRIL</v>
      </c>
      <c r="K38" s="1" t="s">
        <v>200</v>
      </c>
    </row>
    <row r="39" spans="1:11" x14ac:dyDescent="0.25">
      <c r="A39" s="37">
        <v>46153</v>
      </c>
      <c r="B39" s="1" t="s">
        <v>153</v>
      </c>
      <c r="C39" s="1" t="s">
        <v>215</v>
      </c>
      <c r="D39" s="1" t="s">
        <v>105</v>
      </c>
      <c r="E39" s="1" t="s">
        <v>147</v>
      </c>
      <c r="F39" s="1" t="s">
        <v>152</v>
      </c>
      <c r="G39" s="1" t="s">
        <v>17</v>
      </c>
      <c r="H39" s="1" t="s">
        <v>23</v>
      </c>
      <c r="I39" s="42">
        <v>29150</v>
      </c>
      <c r="J39" s="54" t="str">
        <f t="shared" si="0"/>
        <v>MAIO</v>
      </c>
      <c r="K39" s="1" t="s">
        <v>200</v>
      </c>
    </row>
    <row r="40" spans="1:11" x14ac:dyDescent="0.25">
      <c r="A40" s="37">
        <v>46164</v>
      </c>
      <c r="B40" s="1" t="s">
        <v>194</v>
      </c>
      <c r="C40" s="1" t="s">
        <v>217</v>
      </c>
      <c r="D40" s="1" t="s">
        <v>105</v>
      </c>
      <c r="E40" s="1" t="s">
        <v>147</v>
      </c>
      <c r="F40" s="1" t="s">
        <v>152</v>
      </c>
      <c r="G40" s="1" t="s">
        <v>39</v>
      </c>
      <c r="H40" s="1" t="s">
        <v>23</v>
      </c>
      <c r="I40" s="42">
        <v>25500</v>
      </c>
      <c r="J40" s="54" t="str">
        <f t="shared" si="0"/>
        <v>MAIO</v>
      </c>
      <c r="K40" s="1" t="s">
        <v>125</v>
      </c>
    </row>
    <row r="41" spans="1:11" x14ac:dyDescent="0.25">
      <c r="I41" s="42"/>
      <c r="J41" s="1"/>
      <c r="K41" s="1"/>
    </row>
    <row r="42" spans="1:11" x14ac:dyDescent="0.25">
      <c r="I42" s="42"/>
      <c r="J42" s="1"/>
      <c r="K42" s="1"/>
    </row>
    <row r="43" spans="1:11" x14ac:dyDescent="0.25">
      <c r="I43" s="42"/>
      <c r="J43" s="1"/>
      <c r="K43" s="1"/>
    </row>
    <row r="44" spans="1:11" x14ac:dyDescent="0.25">
      <c r="I44" s="42"/>
      <c r="J44" s="1"/>
      <c r="K44" s="1"/>
    </row>
    <row r="45" spans="1:11" x14ac:dyDescent="0.25">
      <c r="I45" s="42"/>
      <c r="J45" s="1"/>
      <c r="K45" s="1"/>
    </row>
    <row r="46" spans="1:11" x14ac:dyDescent="0.25">
      <c r="I46" s="42"/>
      <c r="J46" s="1"/>
      <c r="K46" s="1"/>
    </row>
  </sheetData>
  <dataValidations count="3">
    <dataValidation type="list" allowBlank="1" showInputMessage="1" showErrorMessage="1" sqref="H2:H40" xr:uid="{23909906-3F61-480F-9EAE-01B49F403D9D}">
      <formula1>"R, P, N/A"</formula1>
    </dataValidation>
    <dataValidation type="list" allowBlank="1" showInputMessage="1" showErrorMessage="1" sqref="K41:K1048576" xr:uid="{B9523E5D-BF46-4651-8754-B167BE7BD6B4}">
      <formula1>"S,N"</formula1>
    </dataValidation>
    <dataValidation type="list" allowBlank="1" showInputMessage="1" showErrorMessage="1" sqref="K2:K40" xr:uid="{4BFB3C87-6305-4A5D-B51B-8190EDF2F788}">
      <formula1>"SÓCIOS, NÃO SÓCIOS"</formula1>
    </dataValidation>
  </dataValidations>
  <pageMargins left="0.511811024" right="0.511811024" top="0.78740157499999996" bottom="0.78740157499999996" header="0.31496062000000002" footer="0.31496062000000002"/>
  <pageSetup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711F-CBBE-4B1A-BFD6-53B6AF1C7D47}">
  <sheetPr>
    <tabColor rgb="FF00B0F0"/>
  </sheetPr>
  <dimension ref="A1:I5"/>
  <sheetViews>
    <sheetView workbookViewId="0">
      <selection activeCell="D13" sqref="D13"/>
    </sheetView>
  </sheetViews>
  <sheetFormatPr defaultRowHeight="15" x14ac:dyDescent="0.25"/>
  <cols>
    <col min="1" max="1" width="17.5703125" bestFit="1" customWidth="1"/>
    <col min="2" max="2" width="9.5703125" bestFit="1" customWidth="1"/>
    <col min="3" max="3" width="18.140625" bestFit="1" customWidth="1"/>
    <col min="4" max="4" width="13.42578125" bestFit="1" customWidth="1"/>
    <col min="5" max="5" width="7.7109375" bestFit="1" customWidth="1"/>
    <col min="6" max="6" width="14.28515625" bestFit="1" customWidth="1"/>
    <col min="7" max="7" width="8.140625" bestFit="1" customWidth="1"/>
    <col min="8" max="8" width="17.140625" bestFit="1" customWidth="1"/>
  </cols>
  <sheetData>
    <row r="1" spans="1:9" x14ac:dyDescent="0.25">
      <c r="A1" s="1" t="s">
        <v>50</v>
      </c>
      <c r="B1" s="1" t="s">
        <v>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 spans="1:9" x14ac:dyDescent="0.25">
      <c r="A2" s="1" t="s">
        <v>42</v>
      </c>
      <c r="B2" s="22">
        <v>45931</v>
      </c>
      <c r="C2" s="1">
        <v>118</v>
      </c>
      <c r="D2" s="1">
        <v>4</v>
      </c>
      <c r="E2" s="23">
        <f>D2/C2</f>
        <v>3.3898305084745763E-2</v>
      </c>
      <c r="F2" s="1">
        <v>4</v>
      </c>
      <c r="G2" s="23">
        <f>F2/D2</f>
        <v>1</v>
      </c>
      <c r="H2" s="1">
        <v>1</v>
      </c>
      <c r="I2" s="23">
        <f>H2/F2</f>
        <v>0.25</v>
      </c>
    </row>
    <row r="3" spans="1:9" x14ac:dyDescent="0.25">
      <c r="A3" s="1" t="s">
        <v>58</v>
      </c>
      <c r="B3" s="22">
        <v>45901</v>
      </c>
      <c r="C3" s="1">
        <v>6</v>
      </c>
      <c r="D3" s="1">
        <v>1</v>
      </c>
      <c r="E3" s="23">
        <f>D3/C3</f>
        <v>0.16666666666666666</v>
      </c>
      <c r="F3" s="1">
        <v>1</v>
      </c>
      <c r="G3" s="23">
        <f>F3/D3</f>
        <v>1</v>
      </c>
      <c r="H3" s="1">
        <v>0</v>
      </c>
      <c r="I3" s="23">
        <f>H3/F3</f>
        <v>0</v>
      </c>
    </row>
    <row r="4" spans="1:9" x14ac:dyDescent="0.25">
      <c r="A4" s="1" t="s">
        <v>59</v>
      </c>
      <c r="B4" s="22">
        <v>45901</v>
      </c>
      <c r="C4" s="1">
        <v>4</v>
      </c>
      <c r="D4" s="1">
        <v>0</v>
      </c>
      <c r="E4" s="23">
        <f>D4/C4</f>
        <v>0</v>
      </c>
      <c r="F4" s="1">
        <v>1</v>
      </c>
      <c r="G4" s="23" t="e">
        <f>F4/D4</f>
        <v>#DIV/0!</v>
      </c>
      <c r="H4" s="1"/>
      <c r="I4" s="1">
        <f>H4/F4</f>
        <v>0</v>
      </c>
    </row>
    <row r="5" spans="1:9" x14ac:dyDescent="0.25">
      <c r="A5" s="1" t="s">
        <v>60</v>
      </c>
      <c r="B5" s="22">
        <v>45931</v>
      </c>
      <c r="C5" s="1"/>
      <c r="D5" s="1"/>
      <c r="E5" s="23" t="e">
        <f>D5/C5</f>
        <v>#DIV/0!</v>
      </c>
      <c r="F5" s="1"/>
      <c r="G5" s="23" t="e">
        <f>F5/D5</f>
        <v>#DIV/0!</v>
      </c>
      <c r="H5" s="1"/>
      <c r="I5" s="1" t="e">
        <f>H5/F5</f>
        <v>#DIV/0!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9113-A9F3-4C89-B5C3-6770A19D7D4D}">
  <sheetPr>
    <tabColor rgb="FF002060"/>
  </sheetPr>
  <dimension ref="A1:AA27"/>
  <sheetViews>
    <sheetView zoomScale="115" zoomScaleNormal="115" workbookViewId="0">
      <selection activeCell="M17" sqref="M17"/>
    </sheetView>
  </sheetViews>
  <sheetFormatPr defaultRowHeight="12.75" x14ac:dyDescent="0.2"/>
  <cols>
    <col min="1" max="1" width="24.42578125" style="13" bestFit="1" customWidth="1"/>
    <col min="2" max="2" width="15" style="13" bestFit="1" customWidth="1"/>
    <col min="3" max="4" width="13.5703125" style="13" bestFit="1" customWidth="1"/>
    <col min="5" max="5" width="15" style="13" bestFit="1" customWidth="1"/>
    <col min="6" max="8" width="13.5703125" style="13" bestFit="1" customWidth="1"/>
    <col min="9" max="11" width="15" style="13" bestFit="1" customWidth="1"/>
    <col min="12" max="12" width="13.5703125" style="13" bestFit="1" customWidth="1"/>
    <col min="13" max="14" width="15" style="13" bestFit="1" customWidth="1"/>
    <col min="15" max="15" width="5.42578125" style="13" bestFit="1" customWidth="1"/>
    <col min="16" max="16" width="15" style="5" bestFit="1" customWidth="1"/>
    <col min="17" max="17" width="13.5703125" style="5" bestFit="1" customWidth="1"/>
    <col min="18" max="18" width="11.42578125" style="5" bestFit="1" customWidth="1"/>
    <col min="19" max="19" width="15" style="5" bestFit="1" customWidth="1"/>
    <col min="20" max="20" width="13.5703125" style="5" bestFit="1" customWidth="1"/>
    <col min="21" max="21" width="11.42578125" style="5" bestFit="1" customWidth="1"/>
    <col min="22" max="22" width="15" style="5" bestFit="1" customWidth="1"/>
    <col min="23" max="23" width="9.85546875" style="5" bestFit="1" customWidth="1"/>
    <col min="24" max="24" width="11.42578125" style="5" bestFit="1" customWidth="1"/>
    <col min="25" max="25" width="15" style="5" bestFit="1" customWidth="1"/>
    <col min="26" max="26" width="13.5703125" style="5" bestFit="1" customWidth="1"/>
    <col min="27" max="27" width="11.42578125" style="5" bestFit="1" customWidth="1"/>
    <col min="28" max="16384" width="9.140625" style="5"/>
  </cols>
  <sheetData>
    <row r="1" spans="1:27" x14ac:dyDescent="0.2">
      <c r="A1" s="27" t="s">
        <v>89</v>
      </c>
      <c r="B1" s="28" t="s">
        <v>61</v>
      </c>
      <c r="C1" s="28" t="s">
        <v>62</v>
      </c>
      <c r="D1" s="28" t="s">
        <v>63</v>
      </c>
      <c r="E1" s="28" t="s">
        <v>64</v>
      </c>
      <c r="F1" s="28" t="s">
        <v>65</v>
      </c>
      <c r="G1" s="28" t="s">
        <v>66</v>
      </c>
      <c r="H1" s="28" t="s">
        <v>67</v>
      </c>
      <c r="I1" s="28" t="s">
        <v>68</v>
      </c>
      <c r="J1" s="28" t="s">
        <v>69</v>
      </c>
      <c r="K1" s="28" t="s">
        <v>70</v>
      </c>
      <c r="L1" s="28" t="s">
        <v>71</v>
      </c>
      <c r="M1" s="28" t="s">
        <v>72</v>
      </c>
      <c r="N1" s="29" t="s">
        <v>98</v>
      </c>
      <c r="P1" s="56" t="s">
        <v>239</v>
      </c>
      <c r="Q1" s="56"/>
      <c r="R1" s="45" t="s">
        <v>244</v>
      </c>
      <c r="S1" s="56" t="s">
        <v>240</v>
      </c>
      <c r="T1" s="56"/>
      <c r="U1" s="45" t="s">
        <v>244</v>
      </c>
      <c r="V1" s="56" t="s">
        <v>241</v>
      </c>
      <c r="W1" s="56"/>
      <c r="X1" s="45" t="s">
        <v>244</v>
      </c>
      <c r="Y1" s="56" t="s">
        <v>242</v>
      </c>
      <c r="Z1" s="56"/>
      <c r="AA1" s="45" t="s">
        <v>244</v>
      </c>
    </row>
    <row r="2" spans="1:27" x14ac:dyDescent="0.2">
      <c r="A2" s="11" t="s">
        <v>121</v>
      </c>
      <c r="B2" s="12">
        <f>B8/B5</f>
        <v>3.3187499999999995E-2</v>
      </c>
      <c r="C2" s="12">
        <f t="shared" ref="C2:L2" si="0">C7/C5</f>
        <v>1.1156249999999999</v>
      </c>
      <c r="D2" s="12">
        <f t="shared" si="0"/>
        <v>1.1812499999999999</v>
      </c>
      <c r="E2" s="12">
        <f t="shared" si="0"/>
        <v>0.60342884999999991</v>
      </c>
      <c r="F2" s="12">
        <f t="shared" si="0"/>
        <v>0</v>
      </c>
      <c r="G2" s="12">
        <f t="shared" si="0"/>
        <v>0</v>
      </c>
      <c r="H2" s="12">
        <f t="shared" si="0"/>
        <v>0</v>
      </c>
      <c r="I2" s="12">
        <f t="shared" si="0"/>
        <v>0</v>
      </c>
      <c r="J2" s="12">
        <f t="shared" si="0"/>
        <v>0</v>
      </c>
      <c r="K2" s="12">
        <f t="shared" si="0"/>
        <v>0</v>
      </c>
      <c r="L2" s="12">
        <f t="shared" si="0"/>
        <v>0</v>
      </c>
      <c r="M2" s="12">
        <f>M7/M5</f>
        <v>2.6568725999999998</v>
      </c>
      <c r="N2" s="35">
        <f>N7/N5</f>
        <v>0.46309803750000006</v>
      </c>
      <c r="O2" s="46"/>
      <c r="P2" s="13" t="s">
        <v>243</v>
      </c>
      <c r="Q2" s="13" t="s">
        <v>149</v>
      </c>
      <c r="R2" s="13" t="s">
        <v>53</v>
      </c>
      <c r="S2" s="13" t="s">
        <v>243</v>
      </c>
      <c r="T2" s="13" t="s">
        <v>149</v>
      </c>
      <c r="U2" s="13" t="s">
        <v>53</v>
      </c>
      <c r="V2" s="13" t="s">
        <v>243</v>
      </c>
      <c r="W2" s="13" t="s">
        <v>149</v>
      </c>
      <c r="X2" s="13" t="s">
        <v>53</v>
      </c>
      <c r="Y2" s="13" t="s">
        <v>243</v>
      </c>
      <c r="Z2" s="13" t="s">
        <v>149</v>
      </c>
      <c r="AA2" s="13" t="s">
        <v>53</v>
      </c>
    </row>
    <row r="3" spans="1:27" x14ac:dyDescent="0.2">
      <c r="A3" s="11" t="s">
        <v>122</v>
      </c>
      <c r="B3" s="12">
        <f>B8/B6</f>
        <v>0.13274999999999998</v>
      </c>
      <c r="C3" s="12">
        <f t="shared" ref="C3:N3" si="1">C8/C6</f>
        <v>0.20479395</v>
      </c>
      <c r="D3" s="12">
        <f t="shared" si="1"/>
        <v>4.7939401499999992</v>
      </c>
      <c r="E3" s="12">
        <f t="shared" si="1"/>
        <v>2.8604020000000001</v>
      </c>
      <c r="F3" s="12">
        <f t="shared" si="1"/>
        <v>0.81974999999999998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>M8/M6</f>
        <v>0.13477064999999996</v>
      </c>
      <c r="N3" s="35">
        <f t="shared" si="1"/>
        <v>0.74553389583333329</v>
      </c>
      <c r="O3" s="46"/>
      <c r="P3" s="16">
        <f>SUM(E15:F17)</f>
        <v>999999.99999999988</v>
      </c>
      <c r="Q3" s="16">
        <f>SUM(G15:H17)</f>
        <v>954598.94</v>
      </c>
      <c r="R3" s="17">
        <f>Q3/P3</f>
        <v>0.95459894000000001</v>
      </c>
      <c r="S3" s="16">
        <f>SUM(E18:F20)</f>
        <v>999999.99999999988</v>
      </c>
      <c r="T3" s="16">
        <f>SUM(G18:H20)</f>
        <v>406257.82666666666</v>
      </c>
      <c r="U3" s="17">
        <f>T3/S3</f>
        <v>0.40625782666666671</v>
      </c>
      <c r="V3" s="16">
        <f>SUM(E21:F23)</f>
        <v>999999.99999999988</v>
      </c>
      <c r="W3" s="16">
        <f>SUM(G21:H23)</f>
        <v>0</v>
      </c>
      <c r="X3" s="17">
        <f>W3/V3</f>
        <v>0</v>
      </c>
      <c r="Y3" s="16">
        <f>SUM(E24:F26)</f>
        <v>999999.99999999988</v>
      </c>
      <c r="Z3" s="16">
        <f>SUM(G24:H26)</f>
        <v>717484.07</v>
      </c>
      <c r="AA3" s="17">
        <f>Z3/Y3</f>
        <v>0.71748407000000003</v>
      </c>
    </row>
    <row r="4" spans="1:27" x14ac:dyDescent="0.2">
      <c r="A4" s="30" t="s">
        <v>91</v>
      </c>
      <c r="B4" s="14">
        <f>(B8+B7)/(B6+B5)</f>
        <v>2.6549999999999997E-2</v>
      </c>
      <c r="C4" s="14">
        <f t="shared" ref="C4:N4" si="2">(C7+C8)/(C6+C5)</f>
        <v>0.93345878999999987</v>
      </c>
      <c r="D4" s="14">
        <f t="shared" si="2"/>
        <v>1.9037880299999999</v>
      </c>
      <c r="E4" s="14">
        <f t="shared" si="2"/>
        <v>1.0548234799999998</v>
      </c>
      <c r="F4" s="14">
        <f t="shared" si="2"/>
        <v>0.16394999999999998</v>
      </c>
      <c r="G4" s="14">
        <f t="shared" si="2"/>
        <v>0</v>
      </c>
      <c r="H4" s="14">
        <f t="shared" si="2"/>
        <v>0</v>
      </c>
      <c r="I4" s="14">
        <f t="shared" si="2"/>
        <v>0</v>
      </c>
      <c r="J4" s="14">
        <f t="shared" si="2"/>
        <v>0</v>
      </c>
      <c r="K4" s="14">
        <f t="shared" si="2"/>
        <v>0</v>
      </c>
      <c r="L4" s="14">
        <f t="shared" si="2"/>
        <v>0</v>
      </c>
      <c r="M4" s="14">
        <f>(M7+M8)/(M6+M5)</f>
        <v>2.1524522099999994</v>
      </c>
      <c r="N4" s="36">
        <f t="shared" si="2"/>
        <v>0.51958520916666662</v>
      </c>
      <c r="O4" s="46"/>
    </row>
    <row r="5" spans="1:27" x14ac:dyDescent="0.2">
      <c r="A5" s="31" t="s">
        <v>236</v>
      </c>
      <c r="B5" s="15">
        <v>266666.66666666669</v>
      </c>
      <c r="C5" s="15">
        <v>266666.66666666669</v>
      </c>
      <c r="D5" s="15">
        <v>266666.66666666669</v>
      </c>
      <c r="E5" s="15">
        <v>266666.66666666669</v>
      </c>
      <c r="F5" s="15">
        <v>266666.66666666669</v>
      </c>
      <c r="G5" s="15">
        <v>266666.66666666669</v>
      </c>
      <c r="H5" s="15">
        <v>266666.66666666669</v>
      </c>
      <c r="I5" s="15">
        <v>266666.66666666669</v>
      </c>
      <c r="J5" s="15">
        <v>266666.66666666669</v>
      </c>
      <c r="K5" s="15">
        <v>266666.66666666669</v>
      </c>
      <c r="L5" s="15">
        <v>266666.66666666669</v>
      </c>
      <c r="M5" s="15">
        <v>266666.66666666669</v>
      </c>
      <c r="N5" s="32">
        <f>SUM(BASE_ACUM_VENDAS[[#This Row],[JANEIRO]:[DEZEMBRO]])</f>
        <v>3199999.9999999995</v>
      </c>
      <c r="O5" s="46"/>
    </row>
    <row r="6" spans="1:27" x14ac:dyDescent="0.2">
      <c r="A6" s="31" t="s">
        <v>237</v>
      </c>
      <c r="B6" s="15">
        <v>66666.666666666672</v>
      </c>
      <c r="C6" s="15">
        <v>66666.666666666672</v>
      </c>
      <c r="D6" s="15">
        <v>66666.666666666672</v>
      </c>
      <c r="E6" s="15">
        <v>66666.666666666672</v>
      </c>
      <c r="F6" s="15">
        <v>66666.666666666672</v>
      </c>
      <c r="G6" s="15">
        <v>66666.666666666672</v>
      </c>
      <c r="H6" s="15">
        <v>66666.666666666672</v>
      </c>
      <c r="I6" s="15">
        <v>66666.666666666672</v>
      </c>
      <c r="J6" s="15">
        <v>66666.666666666672</v>
      </c>
      <c r="K6" s="15">
        <v>66666.666666666672</v>
      </c>
      <c r="L6" s="15">
        <v>66666.666666666672</v>
      </c>
      <c r="M6" s="15">
        <v>66666.666666666672</v>
      </c>
      <c r="N6" s="32">
        <f>SUM(BASE_ACUM_VENDAS[[#This Row],[JANEIRO]:[DEZEMBRO]])</f>
        <v>799999.99999999988</v>
      </c>
      <c r="O6" s="46"/>
    </row>
    <row r="7" spans="1:27" x14ac:dyDescent="0.2">
      <c r="A7" s="31" t="s">
        <v>121</v>
      </c>
      <c r="B7" s="15"/>
      <c r="C7" s="15">
        <f>SUMIFS(VENDAS!$I:$I, VENDAS!$H:$H, "R", VENDAS!$J:$J, C$1)</f>
        <v>297500</v>
      </c>
      <c r="D7" s="15">
        <f>SUMIFS(VENDAS!$I:$I, VENDAS!$H:$H, "R", VENDAS!$J:$J, D$1)</f>
        <v>315000</v>
      </c>
      <c r="E7" s="15">
        <f>SUMIFS(VENDAS!$I:$I, VENDAS!$H:$H, "R", VENDAS!$J:$J, E$1)</f>
        <v>160914.35999999999</v>
      </c>
      <c r="F7" s="15">
        <f>SUMIFS(VENDAS!$I:$I, VENDAS!$H:$H, "R", VENDAS!$J:$J, F$1)</f>
        <v>0</v>
      </c>
      <c r="G7" s="15">
        <f>SUMIFS(VENDAS!$I:$I, VENDAS!$H:$H, "R", VENDAS!$J:$J, G$1)</f>
        <v>0</v>
      </c>
      <c r="H7" s="15">
        <f>SUMIFS(VENDAS!$I:$I, VENDAS!$H:$H, "R", VENDAS!$J:$J, H$1)</f>
        <v>0</v>
      </c>
      <c r="I7" s="15">
        <f>SUMIFS(VENDAS!$I:$I, VENDAS!$H:$H, "R", VENDAS!$J:$J, I$1)</f>
        <v>0</v>
      </c>
      <c r="J7" s="15">
        <f>SUMIFS(VENDAS!$I:$I, VENDAS!$H:$H, "R", VENDAS!$J:$J, J$1)</f>
        <v>0</v>
      </c>
      <c r="K7" s="15">
        <f>SUMIFS(VENDAS!$I:$I, VENDAS!$H:$H, "R", VENDAS!$J:$J, K$1)</f>
        <v>0</v>
      </c>
      <c r="L7" s="15">
        <f>SUMIFS(VENDAS!$I:$I, VENDAS!$H:$H, "R", VENDAS!$J:$J, L$1)</f>
        <v>0</v>
      </c>
      <c r="M7" s="15">
        <f>SUMIFS(VENDAS!$I:$I, VENDAS!$H:$H, "R", VENDAS!$J:$J, M$1)</f>
        <v>708499.36</v>
      </c>
      <c r="N7" s="32">
        <f>SUM(BASE_ACUM_VENDAS[[#This Row],[JANEIRO]:[DEZEMBRO]])</f>
        <v>1481913.72</v>
      </c>
      <c r="O7" s="46"/>
    </row>
    <row r="8" spans="1:27" x14ac:dyDescent="0.2">
      <c r="A8" s="33" t="s">
        <v>122</v>
      </c>
      <c r="B8" s="15">
        <f>SUMIFS(VENDAS!$I:$I, VENDAS!$H:$H, "P", VENDAS!$J:$J, B$1)</f>
        <v>8850</v>
      </c>
      <c r="C8" s="15">
        <f>SUMIFS(VENDAS!$I:$I, VENDAS!$H:$H, "P", VENDAS!$J:$J, C$1)</f>
        <v>13652.93</v>
      </c>
      <c r="D8" s="15">
        <f>SUMIFS(VENDAS!$I:$I, VENDAS!$H:$H, "P", VENDAS!$J:$J, D$1)</f>
        <v>319596.00999999995</v>
      </c>
      <c r="E8" s="15">
        <f>SUMIFS(VENDAS!$I:$I, VENDAS!$H:$H, "P", VENDAS!$J:$J, E$1)</f>
        <v>190693.46666666667</v>
      </c>
      <c r="F8" s="15">
        <f>SUMIFS(VENDAS!$I:$I, VENDAS!$H:$H, "P", VENDAS!$J:$J, F$1)</f>
        <v>54650</v>
      </c>
      <c r="G8" s="15">
        <f>SUMIFS(VENDAS!$I:$I, VENDAS!$H:$H, "P", VENDAS!$J:$J, G$1)</f>
        <v>0</v>
      </c>
      <c r="H8" s="15">
        <f>SUMIFS(VENDAS!$I:$I, VENDAS!$H:$H, "P", VENDAS!$J:$J, H$1)</f>
        <v>0</v>
      </c>
      <c r="I8" s="15">
        <f>SUMIFS(VENDAS!$I:$I, VENDAS!$H:$H, "P", VENDAS!$J:$J, I$1)</f>
        <v>0</v>
      </c>
      <c r="J8" s="15">
        <f>SUMIFS(VENDAS!$I:$I, VENDAS!$H:$H, "P", VENDAS!$J:$J, J$1)</f>
        <v>0</v>
      </c>
      <c r="K8" s="15">
        <f>SUMIFS(VENDAS!$I:$I, VENDAS!$H:$H, "P", VENDAS!$J:$J, K$1)</f>
        <v>0</v>
      </c>
      <c r="L8" s="15">
        <f>SUMIFS(VENDAS!$I:$I, VENDAS!$H:$H, "P", VENDAS!$J:$J, L$1)</f>
        <v>0</v>
      </c>
      <c r="M8" s="15">
        <f>SUMIFS(VENDAS!$I:$I, VENDAS!$H:$H, "P", VENDAS!$J:$J, M$1)</f>
        <v>8984.7099999999991</v>
      </c>
      <c r="N8" s="32">
        <f>SUM(BASE_ACUM_VENDAS[[#This Row],[JANEIRO]:[DEZEMBRO]])</f>
        <v>596427.11666666658</v>
      </c>
      <c r="O8" s="46"/>
    </row>
    <row r="9" spans="1:27" x14ac:dyDescent="0.2">
      <c r="A9" s="33" t="s">
        <v>238</v>
      </c>
      <c r="B9" s="15">
        <f>SUMIFS(VENDAS!$I:$I, VENDAS!$K:$K, "SÓCIOS", VENDAS!$J:$J, B$1)</f>
        <v>0</v>
      </c>
      <c r="C9" s="15">
        <f>SUMIFS(VENDAS!$I:$I, VENDAS!$K:$K, "SÓCIOS", VENDAS!$J:$J, C$1)</f>
        <v>0</v>
      </c>
      <c r="D9" s="15">
        <f>SUMIFS(VENDAS!$I:$I, VENDAS!$K:$K, "SÓCIOS", VENDAS!$J:$J, D$1)</f>
        <v>476720.51</v>
      </c>
      <c r="E9" s="15">
        <f>SUMIFS(VENDAS!$I:$I, VENDAS!$K:$K, "SÓCIOS", VENDAS!$J:$J, E$1)</f>
        <v>161284.85</v>
      </c>
      <c r="F9" s="15">
        <f>SUMIFS(VENDAS!$I:$I, VENDAS!$K:$K, "SÓCIOS", VENDAS!$J:$J, F$1)</f>
        <v>25500</v>
      </c>
      <c r="G9" s="15">
        <f>SUMIFS(VENDAS!$I:$I, VENDAS!$K:$K, "SÓCIOS", VENDAS!$J:$J, G$1)</f>
        <v>0</v>
      </c>
      <c r="H9" s="15">
        <f>SUMIFS(VENDAS!$I:$I, VENDAS!$K:$K, "SÓCIOS", VENDAS!$J:$J, H$1)</f>
        <v>0</v>
      </c>
      <c r="I9" s="15">
        <f>SUMIFS(VENDAS!$I:$I, VENDAS!$K:$K, "SÓCIOS", VENDAS!$J:$J, I$1)</f>
        <v>0</v>
      </c>
      <c r="J9" s="15">
        <f>SUMIFS(VENDAS!$I:$I, VENDAS!$K:$K, "SÓCIOS", VENDAS!$J:$J, J$1)</f>
        <v>0</v>
      </c>
      <c r="K9" s="15">
        <f>SUMIFS(VENDAS!$I:$I, VENDAS!$K:$K, "SÓCIOS", VENDAS!$J:$J, K$1)</f>
        <v>0</v>
      </c>
      <c r="L9" s="15">
        <f>SUMIFS(VENDAS!$I:$I, VENDAS!$K:$K, "SÓCIOS", VENDAS!$J:$J, L$1)</f>
        <v>0</v>
      </c>
      <c r="M9" s="15">
        <f>SUMIFS(VENDAS!$I:$I, VENDAS!$K:$K, "SÓCIOS", VENDAS!$J:$J, M$1)</f>
        <v>0</v>
      </c>
      <c r="N9" s="32">
        <f>SUM(BASE_ACUM_VENDAS[[#This Row],[JANEIRO]:[DEZEMBRO]])</f>
        <v>663505.36</v>
      </c>
      <c r="O9" s="46"/>
    </row>
    <row r="10" spans="1:27" x14ac:dyDescent="0.2"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27" x14ac:dyDescent="0.2">
      <c r="A11" s="13" t="s">
        <v>92</v>
      </c>
      <c r="B11" s="16">
        <v>4000000</v>
      </c>
      <c r="C11" s="16">
        <f>B11/12</f>
        <v>333333.33333333331</v>
      </c>
      <c r="D11" s="16" t="s">
        <v>124</v>
      </c>
      <c r="E11" s="40">
        <v>0.6</v>
      </c>
      <c r="F11" s="16">
        <f>C11*E11</f>
        <v>199999.99999999997</v>
      </c>
      <c r="N11" s="16"/>
      <c r="O11" s="16"/>
    </row>
    <row r="12" spans="1:27" x14ac:dyDescent="0.2">
      <c r="B12" s="17">
        <f>(SUM(B7:M8)/$B11)</f>
        <v>0.51958520916666662</v>
      </c>
      <c r="D12" s="13" t="s">
        <v>125</v>
      </c>
      <c r="E12" s="40">
        <v>0.4</v>
      </c>
      <c r="F12" s="16">
        <f>C11*E12</f>
        <v>133333.33333333334</v>
      </c>
    </row>
    <row r="13" spans="1:27" x14ac:dyDescent="0.2">
      <c r="B13" s="17"/>
      <c r="E13" s="40"/>
      <c r="F13" s="16"/>
    </row>
    <row r="14" spans="1:27" x14ac:dyDescent="0.2">
      <c r="B14" s="20" t="s">
        <v>97</v>
      </c>
      <c r="C14" s="20" t="s">
        <v>90</v>
      </c>
      <c r="D14" s="20" t="s">
        <v>91</v>
      </c>
      <c r="E14" s="20" t="s">
        <v>94</v>
      </c>
      <c r="F14" s="20" t="s">
        <v>95</v>
      </c>
      <c r="G14" s="20" t="s">
        <v>93</v>
      </c>
      <c r="H14" s="20" t="s">
        <v>96</v>
      </c>
    </row>
    <row r="15" spans="1:27" x14ac:dyDescent="0.2">
      <c r="A15" s="20" t="s">
        <v>61</v>
      </c>
      <c r="B15" s="18">
        <f>G15/E15</f>
        <v>0</v>
      </c>
      <c r="C15" s="18">
        <f>H15/F15</f>
        <v>0.13274999999999998</v>
      </c>
      <c r="D15" s="14">
        <f>(H15+G15)/(F15+E15)</f>
        <v>2.6549999999999997E-2</v>
      </c>
      <c r="E15" s="15">
        <v>266666.66666666669</v>
      </c>
      <c r="F15" s="19">
        <v>66666.666666666672</v>
      </c>
      <c r="G15" s="21">
        <f>B7</f>
        <v>0</v>
      </c>
      <c r="H15" s="19">
        <f>B8</f>
        <v>8850</v>
      </c>
    </row>
    <row r="16" spans="1:27" x14ac:dyDescent="0.2">
      <c r="A16" s="20" t="s">
        <v>62</v>
      </c>
      <c r="B16" s="18">
        <f t="shared" ref="B16:B23" si="3">G16/E16</f>
        <v>1.1156249999999999</v>
      </c>
      <c r="C16" s="18">
        <f t="shared" ref="C16:C23" si="4">H16/F16</f>
        <v>0.20479395</v>
      </c>
      <c r="D16" s="14">
        <f t="shared" ref="D16:D23" si="5">(H16+G16)/(F16+E16)</f>
        <v>0.93345878999999987</v>
      </c>
      <c r="E16" s="15">
        <v>266666.66666666669</v>
      </c>
      <c r="F16" s="19">
        <v>66666.666666666672</v>
      </c>
      <c r="G16" s="15">
        <f>C7</f>
        <v>297500</v>
      </c>
      <c r="H16" s="19">
        <f>C8</f>
        <v>13652.93</v>
      </c>
    </row>
    <row r="17" spans="1:15" s="9" customFormat="1" x14ac:dyDescent="0.2">
      <c r="A17" s="20" t="s">
        <v>63</v>
      </c>
      <c r="B17" s="18">
        <f t="shared" si="3"/>
        <v>1.1812499999999999</v>
      </c>
      <c r="C17" s="18">
        <f t="shared" si="4"/>
        <v>4.7939401499999992</v>
      </c>
      <c r="D17" s="14">
        <f t="shared" si="5"/>
        <v>1.9037880299999999</v>
      </c>
      <c r="E17" s="15">
        <v>266666.66666666669</v>
      </c>
      <c r="F17" s="19">
        <v>66666.666666666672</v>
      </c>
      <c r="G17" s="15">
        <f>D7</f>
        <v>315000</v>
      </c>
      <c r="H17" s="19">
        <f>D8</f>
        <v>319596.00999999995</v>
      </c>
      <c r="I17" s="17"/>
      <c r="J17" s="17"/>
      <c r="K17" s="17"/>
      <c r="L17" s="17"/>
      <c r="M17" s="17"/>
      <c r="N17" s="17"/>
      <c r="O17" s="17"/>
    </row>
    <row r="18" spans="1:15" s="9" customFormat="1" x14ac:dyDescent="0.2">
      <c r="A18" s="20" t="s">
        <v>64</v>
      </c>
      <c r="B18" s="18">
        <f t="shared" si="3"/>
        <v>0.60342884999999991</v>
      </c>
      <c r="C18" s="18">
        <f t="shared" si="4"/>
        <v>2.8604020000000001</v>
      </c>
      <c r="D18" s="14">
        <f t="shared" si="5"/>
        <v>1.0548234799999998</v>
      </c>
      <c r="E18" s="15">
        <v>266666.66666666669</v>
      </c>
      <c r="F18" s="19">
        <v>66666.666666666672</v>
      </c>
      <c r="G18" s="15">
        <f>E7</f>
        <v>160914.35999999999</v>
      </c>
      <c r="H18" s="19">
        <f>E8</f>
        <v>190693.46666666667</v>
      </c>
      <c r="I18" s="17"/>
      <c r="J18" s="17"/>
      <c r="K18" s="17"/>
      <c r="L18" s="17"/>
      <c r="M18" s="17"/>
      <c r="N18" s="26"/>
      <c r="O18" s="26"/>
    </row>
    <row r="19" spans="1:15" s="9" customFormat="1" x14ac:dyDescent="0.2">
      <c r="A19" s="20" t="s">
        <v>65</v>
      </c>
      <c r="B19" s="18">
        <f t="shared" si="3"/>
        <v>0</v>
      </c>
      <c r="C19" s="18">
        <f t="shared" si="4"/>
        <v>0.81974999999999998</v>
      </c>
      <c r="D19" s="14">
        <f t="shared" si="5"/>
        <v>0.16394999999999998</v>
      </c>
      <c r="E19" s="15">
        <v>266666.66666666669</v>
      </c>
      <c r="F19" s="19">
        <v>66666.666666666672</v>
      </c>
      <c r="G19" s="15">
        <f>F7</f>
        <v>0</v>
      </c>
      <c r="H19" s="19">
        <f>F8</f>
        <v>54650</v>
      </c>
      <c r="I19" s="17"/>
      <c r="J19" s="17"/>
      <c r="K19" s="17"/>
      <c r="L19" s="17"/>
      <c r="M19" s="17"/>
      <c r="N19" s="26"/>
      <c r="O19" s="26"/>
    </row>
    <row r="20" spans="1:15" s="8" customFormat="1" x14ac:dyDescent="0.2">
      <c r="A20" s="20" t="s">
        <v>66</v>
      </c>
      <c r="B20" s="18">
        <f t="shared" si="3"/>
        <v>0</v>
      </c>
      <c r="C20" s="18">
        <f t="shared" si="4"/>
        <v>0</v>
      </c>
      <c r="D20" s="14">
        <f t="shared" si="5"/>
        <v>0</v>
      </c>
      <c r="E20" s="15">
        <v>266666.66666666669</v>
      </c>
      <c r="F20" s="19">
        <v>66666.666666666672</v>
      </c>
      <c r="G20" s="15">
        <f>G7</f>
        <v>0</v>
      </c>
      <c r="H20" s="19">
        <f>G8</f>
        <v>0</v>
      </c>
      <c r="I20" s="16"/>
      <c r="J20" s="16"/>
      <c r="K20" s="16"/>
      <c r="L20" s="16"/>
      <c r="M20" s="16"/>
      <c r="N20" s="16"/>
      <c r="O20" s="16"/>
    </row>
    <row r="21" spans="1:15" s="8" customFormat="1" x14ac:dyDescent="0.2">
      <c r="A21" s="20" t="s">
        <v>67</v>
      </c>
      <c r="B21" s="18">
        <f t="shared" si="3"/>
        <v>0</v>
      </c>
      <c r="C21" s="18">
        <f t="shared" si="4"/>
        <v>0</v>
      </c>
      <c r="D21" s="14">
        <f t="shared" si="5"/>
        <v>0</v>
      </c>
      <c r="E21" s="15">
        <v>266666.66666666669</v>
      </c>
      <c r="F21" s="19">
        <v>66666.666666666672</v>
      </c>
      <c r="G21" s="15">
        <f>H7</f>
        <v>0</v>
      </c>
      <c r="H21" s="19">
        <f>H8</f>
        <v>0</v>
      </c>
      <c r="I21" s="16"/>
      <c r="J21" s="16"/>
      <c r="K21" s="16"/>
      <c r="L21" s="16"/>
      <c r="M21" s="16"/>
      <c r="N21" s="16"/>
      <c r="O21" s="16"/>
    </row>
    <row r="22" spans="1:15" s="8" customFormat="1" x14ac:dyDescent="0.2">
      <c r="A22" s="20" t="s">
        <v>68</v>
      </c>
      <c r="B22" s="18">
        <f t="shared" si="3"/>
        <v>0</v>
      </c>
      <c r="C22" s="18">
        <f t="shared" si="4"/>
        <v>0</v>
      </c>
      <c r="D22" s="14">
        <f t="shared" si="5"/>
        <v>0</v>
      </c>
      <c r="E22" s="15">
        <v>266666.66666666669</v>
      </c>
      <c r="F22" s="19">
        <v>66666.666666666672</v>
      </c>
      <c r="G22" s="15">
        <f>I7</f>
        <v>0</v>
      </c>
      <c r="H22" s="19">
        <f>I8</f>
        <v>0</v>
      </c>
      <c r="I22" s="16"/>
      <c r="J22" s="16"/>
      <c r="K22" s="16"/>
      <c r="L22" s="16"/>
      <c r="M22" s="16"/>
      <c r="N22" s="16"/>
      <c r="O22" s="16"/>
    </row>
    <row r="23" spans="1:15" s="8" customFormat="1" x14ac:dyDescent="0.2">
      <c r="A23" s="20" t="s">
        <v>69</v>
      </c>
      <c r="B23" s="18">
        <f t="shared" si="3"/>
        <v>0</v>
      </c>
      <c r="C23" s="18">
        <f t="shared" si="4"/>
        <v>0</v>
      </c>
      <c r="D23" s="14">
        <f t="shared" si="5"/>
        <v>0</v>
      </c>
      <c r="E23" s="15">
        <v>266666.66666666669</v>
      </c>
      <c r="F23" s="19">
        <v>66666.666666666672</v>
      </c>
      <c r="G23" s="15">
        <f>J7</f>
        <v>0</v>
      </c>
      <c r="H23" s="19">
        <f>J8</f>
        <v>0</v>
      </c>
      <c r="I23" s="16"/>
      <c r="J23" s="16"/>
      <c r="K23" s="16"/>
      <c r="L23" s="16"/>
      <c r="M23" s="16"/>
      <c r="N23" s="16"/>
      <c r="O23" s="16"/>
    </row>
    <row r="24" spans="1:15" x14ac:dyDescent="0.2">
      <c r="A24" s="20" t="s">
        <v>70</v>
      </c>
      <c r="B24" s="18">
        <f t="shared" ref="B24:B26" si="6">G24/E24</f>
        <v>0</v>
      </c>
      <c r="C24" s="18">
        <f t="shared" ref="C24:C26" si="7">H24/F24</f>
        <v>0</v>
      </c>
      <c r="D24" s="14">
        <f t="shared" ref="D24:D26" si="8">(H24+G24)/(F24+E24)</f>
        <v>0</v>
      </c>
      <c r="E24" s="15">
        <v>266666.66666666669</v>
      </c>
      <c r="F24" s="19">
        <v>66666.666666666672</v>
      </c>
      <c r="G24" s="15">
        <f>K7</f>
        <v>0</v>
      </c>
      <c r="H24" s="19">
        <f>K8</f>
        <v>0</v>
      </c>
    </row>
    <row r="25" spans="1:15" x14ac:dyDescent="0.2">
      <c r="A25" s="20" t="s">
        <v>71</v>
      </c>
      <c r="B25" s="18">
        <f t="shared" si="6"/>
        <v>0</v>
      </c>
      <c r="C25" s="18">
        <f t="shared" si="7"/>
        <v>0</v>
      </c>
      <c r="D25" s="14">
        <f t="shared" si="8"/>
        <v>0</v>
      </c>
      <c r="E25" s="15">
        <v>266666.66666666669</v>
      </c>
      <c r="F25" s="19">
        <v>66666.666666666672</v>
      </c>
      <c r="G25" s="15">
        <f>L7</f>
        <v>0</v>
      </c>
      <c r="H25" s="19">
        <f>L8</f>
        <v>0</v>
      </c>
    </row>
    <row r="26" spans="1:15" x14ac:dyDescent="0.2">
      <c r="A26" s="20" t="s">
        <v>72</v>
      </c>
      <c r="B26" s="18">
        <f t="shared" si="6"/>
        <v>2.6568725999999998</v>
      </c>
      <c r="C26" s="18">
        <f t="shared" si="7"/>
        <v>0.13477064999999996</v>
      </c>
      <c r="D26" s="14">
        <f t="shared" si="8"/>
        <v>2.1524522099999994</v>
      </c>
      <c r="E26" s="15">
        <v>266666.66666666669</v>
      </c>
      <c r="F26" s="19">
        <v>66666.666666666672</v>
      </c>
      <c r="G26" s="15">
        <f>M7</f>
        <v>708499.36</v>
      </c>
      <c r="H26" s="19">
        <f>M8</f>
        <v>8984.7099999999991</v>
      </c>
    </row>
    <row r="27" spans="1:15" x14ac:dyDescent="0.2">
      <c r="A27" s="20" t="str">
        <f>BASE_ACUM_VENDAS[[#Headers],[ACUMULADO]]</f>
        <v>ACUMULADO</v>
      </c>
      <c r="B27" s="18">
        <f>N2</f>
        <v>0.46309803750000006</v>
      </c>
      <c r="C27" s="18">
        <f>N3</f>
        <v>0.74553389583333329</v>
      </c>
      <c r="D27" s="14">
        <f>N4</f>
        <v>0.51958520916666662</v>
      </c>
      <c r="E27" s="34">
        <f>SUM(E15:E26)</f>
        <v>3199999.9999999995</v>
      </c>
      <c r="F27" s="19">
        <f>SUM(F15:F26)</f>
        <v>799999.99999999988</v>
      </c>
      <c r="G27" s="15">
        <f>N7</f>
        <v>1481913.72</v>
      </c>
      <c r="H27" s="19">
        <f>N8</f>
        <v>596427.11666666658</v>
      </c>
    </row>
  </sheetData>
  <mergeCells count="4">
    <mergeCell ref="P1:Q1"/>
    <mergeCell ref="S1:T1"/>
    <mergeCell ref="V1:W1"/>
    <mergeCell ref="Y1:Z1"/>
  </mergeCells>
  <phoneticPr fontId="3" type="noConversion"/>
  <conditionalFormatting sqref="B15:C27">
    <cfRule type="cellIs" dxfId="23" priority="1" operator="greaterThanOrEqual">
      <formula>100%</formula>
    </cfRule>
    <cfRule type="cellIs" dxfId="22" priority="2" operator="between">
      <formula>75%</formula>
      <formula>94.99%</formula>
    </cfRule>
    <cfRule type="cellIs" dxfId="21" priority="3" operator="between">
      <formula>0%</formula>
      <formula>50.9%</formula>
    </cfRule>
    <cfRule type="cellIs" dxfId="20" priority="4" operator="between">
      <formula>51%</formula>
      <formula>74.99%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1440-1804-4AC8-94F1-D09212AC99C8}">
  <dimension ref="A1:CH325"/>
  <sheetViews>
    <sheetView topLeftCell="A103" zoomScale="25" zoomScaleNormal="25" workbookViewId="0">
      <selection activeCell="S152" sqref="S152"/>
    </sheetView>
  </sheetViews>
  <sheetFormatPr defaultColWidth="2.7109375" defaultRowHeight="15" x14ac:dyDescent="0.25"/>
  <cols>
    <col min="1" max="1" width="37.28515625" bestFit="1" customWidth="1"/>
    <col min="2" max="2" width="58.42578125" bestFit="1" customWidth="1"/>
    <col min="3" max="3" width="5.85546875" bestFit="1" customWidth="1"/>
    <col min="4" max="4" width="8.140625" bestFit="1" customWidth="1"/>
    <col min="5" max="5" width="20.7109375" bestFit="1" customWidth="1"/>
    <col min="6" max="6" width="19.5703125" bestFit="1" customWidth="1"/>
    <col min="7" max="7" width="20.7109375" bestFit="1" customWidth="1"/>
    <col min="8" max="8" width="40.140625" bestFit="1" customWidth="1"/>
    <col min="9" max="9" width="14.42578125" bestFit="1" customWidth="1"/>
    <col min="10" max="10" width="24.7109375" bestFit="1" customWidth="1"/>
    <col min="11" max="11" width="19" bestFit="1" customWidth="1"/>
    <col min="12" max="12" width="48.140625" bestFit="1" customWidth="1"/>
    <col min="13" max="13" width="37.85546875" bestFit="1" customWidth="1"/>
    <col min="14" max="14" width="35" bestFit="1" customWidth="1"/>
    <col min="15" max="15" width="10.42578125" bestFit="1" customWidth="1"/>
    <col min="16" max="16" width="15" bestFit="1" customWidth="1"/>
    <col min="17" max="17" width="17.28515625" bestFit="1" customWidth="1"/>
    <col min="18" max="18" width="15" bestFit="1" customWidth="1"/>
    <col min="19" max="19" width="15.5703125" bestFit="1" customWidth="1"/>
    <col min="20" max="20" width="20.7109375" bestFit="1" customWidth="1"/>
    <col min="43" max="43" width="41.28515625" bestFit="1" customWidth="1"/>
    <col min="47" max="47" width="58.42578125" bestFit="1" customWidth="1"/>
    <col min="48" max="48" width="39.5703125" bestFit="1" customWidth="1"/>
    <col min="49" max="49" width="8.7109375" bestFit="1" customWidth="1"/>
    <col min="50" max="50" width="9.28515625" bestFit="1" customWidth="1"/>
    <col min="51" max="51" width="8.7109375" bestFit="1" customWidth="1"/>
    <col min="52" max="52" width="8.140625" bestFit="1" customWidth="1"/>
    <col min="53" max="53" width="20.7109375" bestFit="1" customWidth="1"/>
    <col min="76" max="76" width="58.42578125" bestFit="1" customWidth="1"/>
    <col min="77" max="77" width="39.5703125" bestFit="1" customWidth="1"/>
    <col min="78" max="78" width="37.28515625" bestFit="1" customWidth="1"/>
    <col min="79" max="79" width="46.42578125" bestFit="1" customWidth="1"/>
    <col min="80" max="80" width="39.5703125" bestFit="1" customWidth="1"/>
    <col min="81" max="81" width="33.85546875" bestFit="1" customWidth="1"/>
    <col min="82" max="83" width="35" bestFit="1" customWidth="1"/>
    <col min="84" max="84" width="33.28515625" bestFit="1" customWidth="1"/>
    <col min="85" max="85" width="35" bestFit="1" customWidth="1"/>
    <col min="86" max="86" width="40.140625" bestFit="1" customWidth="1"/>
  </cols>
  <sheetData>
    <row r="1" spans="1:82" x14ac:dyDescent="0.25">
      <c r="A1" s="3" t="s">
        <v>73</v>
      </c>
      <c r="B1" t="s">
        <v>77</v>
      </c>
      <c r="BX1" s="3" t="s">
        <v>78</v>
      </c>
      <c r="BY1" t="s" vm="2">
        <v>79</v>
      </c>
    </row>
    <row r="2" spans="1:82" x14ac:dyDescent="0.25">
      <c r="A2" s="4" t="s">
        <v>101</v>
      </c>
      <c r="B2">
        <v>54</v>
      </c>
    </row>
    <row r="3" spans="1:82" x14ac:dyDescent="0.25">
      <c r="A3" s="4" t="s">
        <v>76</v>
      </c>
      <c r="B3">
        <v>54</v>
      </c>
      <c r="BY3" s="3" t="s">
        <v>80</v>
      </c>
    </row>
    <row r="4" spans="1:82" x14ac:dyDescent="0.25">
      <c r="BY4" t="s">
        <v>74</v>
      </c>
      <c r="BZ4" t="s">
        <v>75</v>
      </c>
      <c r="CA4" t="s">
        <v>143</v>
      </c>
      <c r="CB4" t="s">
        <v>144</v>
      </c>
      <c r="CC4" t="s">
        <v>154</v>
      </c>
      <c r="CD4" t="s">
        <v>76</v>
      </c>
    </row>
    <row r="5" spans="1:82" x14ac:dyDescent="0.25">
      <c r="AQ5" s="6" t="s">
        <v>73</v>
      </c>
      <c r="BX5" t="s">
        <v>77</v>
      </c>
      <c r="BY5">
        <v>7</v>
      </c>
      <c r="BZ5">
        <v>14</v>
      </c>
      <c r="CA5">
        <v>12</v>
      </c>
      <c r="CB5">
        <v>10</v>
      </c>
      <c r="CC5">
        <v>11</v>
      </c>
      <c r="CD5">
        <v>54</v>
      </c>
    </row>
    <row r="6" spans="1:82" x14ac:dyDescent="0.25">
      <c r="AQ6" s="7" t="s">
        <v>74</v>
      </c>
    </row>
    <row r="7" spans="1:82" x14ac:dyDescent="0.25">
      <c r="AQ7" s="7" t="s">
        <v>75</v>
      </c>
    </row>
    <row r="8" spans="1:82" x14ac:dyDescent="0.25">
      <c r="AQ8" s="7" t="s">
        <v>143</v>
      </c>
    </row>
    <row r="9" spans="1:82" x14ac:dyDescent="0.25">
      <c r="AQ9" s="7" t="s">
        <v>144</v>
      </c>
    </row>
    <row r="10" spans="1:82" x14ac:dyDescent="0.25">
      <c r="AQ10" s="7" t="s">
        <v>154</v>
      </c>
    </row>
    <row r="11" spans="1:82" x14ac:dyDescent="0.25">
      <c r="AQ11" s="7" t="s">
        <v>76</v>
      </c>
    </row>
    <row r="57" spans="1:10" x14ac:dyDescent="0.25">
      <c r="A57" s="6" t="s">
        <v>82</v>
      </c>
      <c r="B57" s="2" t="s" vm="4">
        <v>79</v>
      </c>
    </row>
    <row r="59" spans="1:10" x14ac:dyDescent="0.25">
      <c r="A59" s="2"/>
      <c r="B59" s="6" t="s">
        <v>80</v>
      </c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6" t="s">
        <v>73</v>
      </c>
      <c r="B60" s="2" t="s">
        <v>141</v>
      </c>
      <c r="C60" s="2" t="s">
        <v>138</v>
      </c>
      <c r="D60" s="2" t="s">
        <v>135</v>
      </c>
      <c r="E60" s="2" t="s">
        <v>105</v>
      </c>
      <c r="F60" s="2" t="s">
        <v>128</v>
      </c>
      <c r="G60" s="2" t="s">
        <v>22</v>
      </c>
      <c r="H60" s="2" t="s">
        <v>107</v>
      </c>
      <c r="I60" s="2" t="s">
        <v>133</v>
      </c>
      <c r="J60" s="2" t="s">
        <v>76</v>
      </c>
    </row>
    <row r="61" spans="1:10" x14ac:dyDescent="0.25">
      <c r="A61" s="7" t="s">
        <v>127</v>
      </c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7" t="s">
        <v>114</v>
      </c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7" t="s">
        <v>234</v>
      </c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7" t="s">
        <v>140</v>
      </c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7" t="s">
        <v>137</v>
      </c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7" t="s">
        <v>139</v>
      </c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7" t="s">
        <v>129</v>
      </c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7" t="s">
        <v>40</v>
      </c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7" t="s">
        <v>231</v>
      </c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7" t="s">
        <v>27</v>
      </c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7" t="s">
        <v>130</v>
      </c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7" t="s">
        <v>233</v>
      </c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7" t="s">
        <v>131</v>
      </c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7" t="s">
        <v>153</v>
      </c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7" t="s">
        <v>134</v>
      </c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7" t="s">
        <v>194</v>
      </c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7" t="s">
        <v>132</v>
      </c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7" t="s">
        <v>136</v>
      </c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7" t="s">
        <v>232</v>
      </c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7" t="s">
        <v>49</v>
      </c>
      <c r="B80" s="2"/>
      <c r="C80" s="2"/>
      <c r="D80" s="2"/>
      <c r="E80" s="2"/>
      <c r="F80" s="2"/>
      <c r="G80" s="2"/>
      <c r="H80" s="2"/>
      <c r="I80" s="2"/>
      <c r="J80" s="2"/>
    </row>
    <row r="81" spans="1:53" x14ac:dyDescent="0.25">
      <c r="A81" s="7" t="s">
        <v>142</v>
      </c>
      <c r="B81" s="2"/>
      <c r="C81" s="2"/>
      <c r="D81" s="2"/>
      <c r="E81" s="2"/>
      <c r="F81" s="2"/>
      <c r="G81" s="2"/>
      <c r="H81" s="2"/>
      <c r="I81" s="2"/>
      <c r="J81" s="2"/>
    </row>
    <row r="82" spans="1:53" x14ac:dyDescent="0.25">
      <c r="A82" s="7" t="s">
        <v>126</v>
      </c>
      <c r="B82" s="2"/>
      <c r="C82" s="2"/>
      <c r="D82" s="2"/>
      <c r="E82" s="2"/>
      <c r="F82" s="2"/>
      <c r="G82" s="2"/>
      <c r="H82" s="2"/>
      <c r="I82" s="2"/>
      <c r="J82" s="2"/>
    </row>
    <row r="83" spans="1:53" x14ac:dyDescent="0.25">
      <c r="A83" s="7" t="s">
        <v>76</v>
      </c>
      <c r="B83" s="2"/>
      <c r="C83" s="2"/>
      <c r="D83" s="2"/>
      <c r="E83" s="2"/>
      <c r="F83" s="2"/>
      <c r="G83" s="2"/>
      <c r="H83" s="2"/>
      <c r="I83" s="2"/>
      <c r="J83" s="2"/>
    </row>
    <row r="91" spans="1:53" x14ac:dyDescent="0.25">
      <c r="AU91" s="3" t="s">
        <v>77</v>
      </c>
      <c r="AV91" s="3" t="s">
        <v>80</v>
      </c>
    </row>
    <row r="92" spans="1:53" x14ac:dyDescent="0.25">
      <c r="AU92" s="3" t="s">
        <v>73</v>
      </c>
      <c r="AV92" t="s">
        <v>74</v>
      </c>
      <c r="AW92" t="s">
        <v>75</v>
      </c>
      <c r="AX92" t="s">
        <v>143</v>
      </c>
      <c r="AY92" t="s">
        <v>144</v>
      </c>
      <c r="AZ92" t="s">
        <v>154</v>
      </c>
      <c r="BA92" t="s">
        <v>76</v>
      </c>
    </row>
    <row r="93" spans="1:53" x14ac:dyDescent="0.25">
      <c r="AU93" s="4" t="s">
        <v>101</v>
      </c>
      <c r="AV93">
        <v>10</v>
      </c>
      <c r="AW93">
        <v>14</v>
      </c>
      <c r="AX93">
        <v>9</v>
      </c>
      <c r="AY93">
        <v>11</v>
      </c>
      <c r="AZ93">
        <v>10</v>
      </c>
      <c r="BA93">
        <v>54</v>
      </c>
    </row>
    <row r="94" spans="1:53" x14ac:dyDescent="0.25">
      <c r="AU94" s="4" t="s">
        <v>76</v>
      </c>
      <c r="AV94">
        <v>10</v>
      </c>
      <c r="AW94">
        <v>14</v>
      </c>
      <c r="AX94">
        <v>9</v>
      </c>
      <c r="AY94">
        <v>11</v>
      </c>
      <c r="AZ94">
        <v>10</v>
      </c>
      <c r="BA94">
        <v>54</v>
      </c>
    </row>
    <row r="101" spans="79:86" x14ac:dyDescent="0.25">
      <c r="CA101" s="3" t="s">
        <v>0</v>
      </c>
      <c r="CB101" t="s" vm="1">
        <v>79</v>
      </c>
    </row>
    <row r="103" spans="79:86" x14ac:dyDescent="0.25">
      <c r="CB103" s="3" t="s">
        <v>80</v>
      </c>
    </row>
    <row r="104" spans="79:86" x14ac:dyDescent="0.25">
      <c r="CB104" t="s">
        <v>74</v>
      </c>
      <c r="CC104" t="s">
        <v>75</v>
      </c>
      <c r="CD104" t="s">
        <v>143</v>
      </c>
      <c r="CE104" t="s">
        <v>144</v>
      </c>
      <c r="CF104" t="s">
        <v>154</v>
      </c>
      <c r="CG104" t="s">
        <v>198</v>
      </c>
      <c r="CH104" t="s">
        <v>76</v>
      </c>
    </row>
    <row r="105" spans="79:86" x14ac:dyDescent="0.25">
      <c r="CA105" s="2" t="s">
        <v>81</v>
      </c>
      <c r="CB105" s="2">
        <v>8850</v>
      </c>
      <c r="CC105" s="2">
        <v>311152.93</v>
      </c>
      <c r="CD105" s="2">
        <v>634596.01</v>
      </c>
      <c r="CE105" s="2">
        <v>351607.82666666666</v>
      </c>
      <c r="CF105" s="2">
        <v>54650</v>
      </c>
      <c r="CG105" s="2">
        <v>717484.07</v>
      </c>
      <c r="CH105" s="2">
        <v>2078340.8366666671</v>
      </c>
    </row>
    <row r="152" spans="1:7" x14ac:dyDescent="0.25">
      <c r="A152" s="3" t="s">
        <v>84</v>
      </c>
      <c r="B152" s="3" t="s">
        <v>80</v>
      </c>
    </row>
    <row r="153" spans="1:7" x14ac:dyDescent="0.25">
      <c r="A153" s="3" t="s">
        <v>73</v>
      </c>
      <c r="B153" t="s">
        <v>85</v>
      </c>
      <c r="C153" t="s">
        <v>119</v>
      </c>
      <c r="D153" t="s">
        <v>86</v>
      </c>
      <c r="E153" t="s">
        <v>87</v>
      </c>
      <c r="F153" t="s">
        <v>120</v>
      </c>
      <c r="G153" t="s">
        <v>76</v>
      </c>
    </row>
    <row r="154" spans="1:7" x14ac:dyDescent="0.25">
      <c r="A154" s="4" t="s">
        <v>74</v>
      </c>
      <c r="D154">
        <v>5</v>
      </c>
      <c r="E154">
        <v>1</v>
      </c>
      <c r="F154">
        <v>1</v>
      </c>
      <c r="G154">
        <v>7</v>
      </c>
    </row>
    <row r="155" spans="1:7" x14ac:dyDescent="0.25">
      <c r="A155" s="4" t="s">
        <v>75</v>
      </c>
      <c r="B155">
        <v>5</v>
      </c>
      <c r="C155">
        <v>4</v>
      </c>
      <c r="D155">
        <v>4</v>
      </c>
      <c r="E155">
        <v>1</v>
      </c>
      <c r="G155">
        <v>14</v>
      </c>
    </row>
    <row r="156" spans="1:7" x14ac:dyDescent="0.25">
      <c r="A156" s="4" t="s">
        <v>143</v>
      </c>
      <c r="B156">
        <v>4</v>
      </c>
      <c r="C156">
        <v>1</v>
      </c>
      <c r="D156">
        <v>2</v>
      </c>
      <c r="E156">
        <v>1</v>
      </c>
      <c r="F156">
        <v>4</v>
      </c>
      <c r="G156">
        <v>12</v>
      </c>
    </row>
    <row r="157" spans="1:7" x14ac:dyDescent="0.25">
      <c r="A157" s="4" t="s">
        <v>144</v>
      </c>
      <c r="B157">
        <v>3</v>
      </c>
      <c r="C157">
        <v>4</v>
      </c>
      <c r="E157">
        <v>3</v>
      </c>
      <c r="G157">
        <v>10</v>
      </c>
    </row>
    <row r="158" spans="1:7" x14ac:dyDescent="0.25">
      <c r="A158" s="4" t="s">
        <v>154</v>
      </c>
      <c r="B158">
        <v>3</v>
      </c>
      <c r="C158">
        <v>3</v>
      </c>
      <c r="E158">
        <v>5</v>
      </c>
      <c r="G158">
        <v>11</v>
      </c>
    </row>
    <row r="159" spans="1:7" x14ac:dyDescent="0.25">
      <c r="A159" s="4" t="s">
        <v>76</v>
      </c>
      <c r="B159">
        <v>15</v>
      </c>
      <c r="C159">
        <v>12</v>
      </c>
      <c r="D159">
        <v>11</v>
      </c>
      <c r="E159">
        <v>11</v>
      </c>
      <c r="F159">
        <v>5</v>
      </c>
      <c r="G159">
        <v>54</v>
      </c>
    </row>
    <row r="171" spans="78:79" x14ac:dyDescent="0.25">
      <c r="BZ171" s="3" t="s">
        <v>73</v>
      </c>
      <c r="CA171" s="2" t="s">
        <v>83</v>
      </c>
    </row>
    <row r="172" spans="78:79" x14ac:dyDescent="0.25">
      <c r="BZ172" s="4" t="s">
        <v>74</v>
      </c>
      <c r="CA172" s="2">
        <v>174969.88</v>
      </c>
    </row>
    <row r="173" spans="78:79" x14ac:dyDescent="0.25">
      <c r="BZ173" s="4" t="s">
        <v>75</v>
      </c>
      <c r="CA173" s="2">
        <v>400945.98</v>
      </c>
    </row>
    <row r="174" spans="78:79" x14ac:dyDescent="0.25">
      <c r="BZ174" s="4" t="s">
        <v>143</v>
      </c>
      <c r="CA174" s="2">
        <v>723319.52</v>
      </c>
    </row>
    <row r="175" spans="78:79" x14ac:dyDescent="0.25">
      <c r="BZ175" s="4" t="s">
        <v>144</v>
      </c>
      <c r="CA175" s="2">
        <v>954994.32000000007</v>
      </c>
    </row>
    <row r="176" spans="78:79" x14ac:dyDescent="0.25">
      <c r="BZ176" s="4" t="s">
        <v>154</v>
      </c>
      <c r="CA176" s="2">
        <v>1952792.385</v>
      </c>
    </row>
    <row r="177" spans="78:79" x14ac:dyDescent="0.25">
      <c r="BZ177" s="4" t="s">
        <v>76</v>
      </c>
      <c r="CA177" s="2">
        <v>4207022.0850000009</v>
      </c>
    </row>
    <row r="215" spans="1:8" x14ac:dyDescent="0.25">
      <c r="A215" s="3" t="s">
        <v>81</v>
      </c>
      <c r="B215" s="3" t="s">
        <v>80</v>
      </c>
    </row>
    <row r="216" spans="1:8" x14ac:dyDescent="0.25">
      <c r="A216" s="3" t="s">
        <v>73</v>
      </c>
      <c r="B216" t="s">
        <v>74</v>
      </c>
      <c r="C216" t="s">
        <v>75</v>
      </c>
      <c r="D216" t="s">
        <v>143</v>
      </c>
      <c r="E216" t="s">
        <v>144</v>
      </c>
      <c r="F216" t="s">
        <v>154</v>
      </c>
      <c r="G216" t="s">
        <v>198</v>
      </c>
      <c r="H216" t="s">
        <v>76</v>
      </c>
    </row>
    <row r="217" spans="1:8" x14ac:dyDescent="0.25">
      <c r="A217" s="4" t="s">
        <v>141</v>
      </c>
      <c r="B217" s="2"/>
      <c r="C217" s="2"/>
      <c r="D217" s="2"/>
      <c r="E217" s="2">
        <v>21601.7</v>
      </c>
      <c r="F217" s="2"/>
      <c r="G217" s="2"/>
      <c r="H217" s="2">
        <v>21601.7</v>
      </c>
    </row>
    <row r="218" spans="1:8" x14ac:dyDescent="0.25">
      <c r="A218" s="4" t="s">
        <v>138</v>
      </c>
      <c r="B218" s="2"/>
      <c r="C218" s="2"/>
      <c r="D218" s="2">
        <v>2450</v>
      </c>
      <c r="E218" s="2"/>
      <c r="F218" s="2"/>
      <c r="G218" s="2"/>
      <c r="H218" s="2">
        <v>2450</v>
      </c>
    </row>
    <row r="219" spans="1:8" x14ac:dyDescent="0.25">
      <c r="A219" s="4" t="s">
        <v>135</v>
      </c>
      <c r="B219" s="2"/>
      <c r="C219" s="2"/>
      <c r="D219" s="2"/>
      <c r="E219" s="2"/>
      <c r="F219" s="2"/>
      <c r="G219" s="2">
        <v>470199.36</v>
      </c>
      <c r="H219" s="2">
        <v>470199.36</v>
      </c>
    </row>
    <row r="220" spans="1:8" x14ac:dyDescent="0.25">
      <c r="A220" s="4" t="s">
        <v>105</v>
      </c>
      <c r="B220" s="2">
        <v>8850</v>
      </c>
      <c r="C220" s="2">
        <v>12302.93</v>
      </c>
      <c r="D220" s="2">
        <v>312096.00999999995</v>
      </c>
      <c r="E220" s="2">
        <v>247406.12666666665</v>
      </c>
      <c r="F220" s="2">
        <v>54650</v>
      </c>
      <c r="G220" s="2">
        <v>124784.70999999999</v>
      </c>
      <c r="H220" s="2">
        <v>760089.77666666661</v>
      </c>
    </row>
    <row r="221" spans="1:8" x14ac:dyDescent="0.25">
      <c r="A221" s="4" t="s">
        <v>128</v>
      </c>
      <c r="B221" s="2"/>
      <c r="C221" s="2"/>
      <c r="D221" s="2">
        <v>315000</v>
      </c>
      <c r="E221" s="2"/>
      <c r="F221" s="2"/>
      <c r="G221" s="2"/>
      <c r="H221" s="2">
        <v>315000</v>
      </c>
    </row>
    <row r="222" spans="1:8" x14ac:dyDescent="0.25">
      <c r="A222" s="4" t="s">
        <v>22</v>
      </c>
      <c r="B222" s="2"/>
      <c r="C222" s="2"/>
      <c r="D222" s="2">
        <v>1550</v>
      </c>
      <c r="E222" s="2">
        <v>79200</v>
      </c>
      <c r="F222" s="2"/>
      <c r="G222" s="2"/>
      <c r="H222" s="2">
        <v>80750</v>
      </c>
    </row>
    <row r="223" spans="1:8" x14ac:dyDescent="0.25">
      <c r="A223" s="4" t="s">
        <v>107</v>
      </c>
      <c r="B223" s="2"/>
      <c r="C223" s="2">
        <v>1350</v>
      </c>
      <c r="D223" s="2">
        <v>3500</v>
      </c>
      <c r="E223" s="2">
        <v>3400</v>
      </c>
      <c r="F223" s="2"/>
      <c r="G223" s="2"/>
      <c r="H223" s="2">
        <v>8250</v>
      </c>
    </row>
    <row r="224" spans="1:8" x14ac:dyDescent="0.25">
      <c r="A224" s="4" t="s">
        <v>133</v>
      </c>
      <c r="B224" s="2"/>
      <c r="C224" s="2">
        <v>297500</v>
      </c>
      <c r="D224" s="2"/>
      <c r="E224" s="2"/>
      <c r="F224" s="2"/>
      <c r="G224" s="2">
        <v>122500</v>
      </c>
      <c r="H224" s="2">
        <v>420000</v>
      </c>
    </row>
    <row r="225" spans="1:8" x14ac:dyDescent="0.25">
      <c r="A225" s="4" t="s">
        <v>76</v>
      </c>
      <c r="B225" s="2">
        <v>8850</v>
      </c>
      <c r="C225" s="2">
        <v>311152.93</v>
      </c>
      <c r="D225" s="2">
        <v>634596.01</v>
      </c>
      <c r="E225" s="2">
        <v>351607.82666666666</v>
      </c>
      <c r="F225" s="2">
        <v>54650</v>
      </c>
      <c r="G225" s="2">
        <v>717484.07</v>
      </c>
      <c r="H225" s="2">
        <v>2078340.8366666671</v>
      </c>
    </row>
    <row r="321" spans="1:5" x14ac:dyDescent="0.25">
      <c r="A321" s="3" t="s">
        <v>123</v>
      </c>
      <c r="B321" t="s" vm="3">
        <v>79</v>
      </c>
    </row>
    <row r="323" spans="1:5" x14ac:dyDescent="0.25">
      <c r="B323" s="3" t="s">
        <v>80</v>
      </c>
    </row>
    <row r="324" spans="1:5" x14ac:dyDescent="0.25">
      <c r="B324" t="s">
        <v>17</v>
      </c>
      <c r="C324" t="s">
        <v>36</v>
      </c>
      <c r="D324" t="s">
        <v>39</v>
      </c>
      <c r="E324" t="s">
        <v>76</v>
      </c>
    </row>
    <row r="325" spans="1:5" x14ac:dyDescent="0.25">
      <c r="A325" t="s">
        <v>77</v>
      </c>
      <c r="B325">
        <v>28</v>
      </c>
      <c r="C325">
        <v>3</v>
      </c>
      <c r="D325">
        <v>23</v>
      </c>
      <c r="E325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1bc8be-4302-4a99-a1b4-2528d1875728">
      <Terms xmlns="http://schemas.microsoft.com/office/infopath/2007/PartnerControls"/>
    </lcf76f155ced4ddcb4097134ff3c332f>
    <TaxCatchAll xmlns="267e3fff-d552-418c-a3ab-f9a3f0c86d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A2CC92CDA54E4BAD4DF9EB0FE82562" ma:contentTypeVersion="12" ma:contentTypeDescription="Crie um novo documento." ma:contentTypeScope="" ma:versionID="b73645def50803224bfcc4a5bb9c674a">
  <xsd:schema xmlns:xsd="http://www.w3.org/2001/XMLSchema" xmlns:xs="http://www.w3.org/2001/XMLSchema" xmlns:p="http://schemas.microsoft.com/office/2006/metadata/properties" xmlns:ns2="741bc8be-4302-4a99-a1b4-2528d1875728" xmlns:ns3="267e3fff-d552-418c-a3ab-f9a3f0c86d94" targetNamespace="http://schemas.microsoft.com/office/2006/metadata/properties" ma:root="true" ma:fieldsID="a35ae2e236abdc51a8b225d5026fbaf9" ns2:_="" ns3:_="">
    <xsd:import namespace="741bc8be-4302-4a99-a1b4-2528d1875728"/>
    <xsd:import namespace="267e3fff-d552-418c-a3ab-f9a3f0c86d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bc8be-4302-4a99-a1b4-2528d18757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4f8a739-47c7-4974-a083-201fe2f46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e3fff-d552-418c-a3ab-f9a3f0c86d9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5c5c882-f89a-4f76-ae56-1d6a9acfb04a}" ma:internalName="TaxCatchAll" ma:showField="CatchAllData" ma:web="267e3fff-d552-418c-a3ab-f9a3f0c86d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3EBA32-70EC-41C9-A6FB-5DCCFF217C44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267e3fff-d552-418c-a3ab-f9a3f0c86d94"/>
    <ds:schemaRef ds:uri="741bc8be-4302-4a99-a1b4-2528d1875728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6ED2FD1-3FD6-4943-9BE1-68322C86B0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D837F6-478D-40B0-AE36-26A6DA20FF4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A5E3AE4-0A9D-48D7-9F3E-A85E6E9C6A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1bc8be-4302-4a99-a1b4-2528d1875728"/>
    <ds:schemaRef ds:uri="267e3fff-d552-418c-a3ab-f9a3f0c86d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</vt:lpstr>
      <vt:lpstr>GERAL</vt:lpstr>
      <vt:lpstr>VENDAS</vt:lpstr>
      <vt:lpstr>EVENTOS</vt:lpstr>
      <vt:lpstr>ACUMULADO</vt:lpstr>
      <vt:lpstr>ANÁLISE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Piacenti</dc:creator>
  <cp:keywords/>
  <dc:description/>
  <cp:lastModifiedBy>Leonardo Scaccabarozzi</cp:lastModifiedBy>
  <cp:revision/>
  <dcterms:created xsi:type="dcterms:W3CDTF">2022-02-10T17:58:09Z</dcterms:created>
  <dcterms:modified xsi:type="dcterms:W3CDTF">2026-05-26T02:04:27Z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0x010100BEA2CC92CDA54E4BAD4DF9EB0FE82562</vt:lpwstr>
  </property>
  <property fmtid="{D5CDD505-2E9C-101B-9397-08002B2CF9AE}" pid="3" name="MediaServiceImageTags">
    <vt:lpwstr/>
  </property>
</Properties>
</file>